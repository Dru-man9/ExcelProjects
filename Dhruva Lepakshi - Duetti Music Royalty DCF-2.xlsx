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ssumptions" sheetId="1" r:id="rId4"/>
    <sheet state="visible" name="DCF Model" sheetId="2" r:id="rId5"/>
    <sheet state="visible" name="Sensitivity" sheetId="3" r:id="rId6"/>
    <sheet state="visible" name="Methodology" sheetId="4" r:id="rId7"/>
    <sheet state="visible" name="PSR Reference" sheetId="5" r:id="rId8"/>
  </sheets>
  <definedNames/>
  <calcPr/>
  <extLst>
    <ext uri="GoogleSheetsCustomDataVersion2">
      <go:sheetsCustomData xmlns:go="http://customooxmlschemas.google.com/" r:id="rId9" roundtripDataChecksum="GM3J5W16vWeYdhBvjCuRhLtPGyKoZr4ViFTWOln3eZY="/>
    </ext>
  </extLst>
</workbook>
</file>

<file path=xl/sharedStrings.xml><?xml version="1.0" encoding="utf-8"?>
<sst xmlns="http://schemas.openxmlformats.org/spreadsheetml/2006/main" count="146" uniqueCount="130">
  <si>
    <t>Music Royalty Stream DCF Valuation Model</t>
  </si>
  <si>
    <t>Independent Artist Catalog Analysis</t>
  </si>
  <si>
    <t>Prepared by: Dhruva Lepakshi</t>
  </si>
  <si>
    <t>Catalog Overview</t>
  </si>
  <si>
    <t>Artist Name</t>
  </si>
  <si>
    <t>Drake</t>
  </si>
  <si>
    <t>Total Tracks in Catalog</t>
  </si>
  <si>
    <t>Catalog Age (Years)</t>
  </si>
  <si>
    <t>Rights Type</t>
  </si>
  <si>
    <t>Both</t>
  </si>
  <si>
    <t>Ownership Share (%)</t>
  </si>
  <si>
    <t>75% ownership after label/distributor split (UMG/OVO)</t>
  </si>
  <si>
    <t>LTM Streaming Data by DSP</t>
  </si>
  <si>
    <t>DSP (Platform)</t>
  </si>
  <si>
    <t>LTM Streams</t>
  </si>
  <si>
    <t>Avg Per-Stream Rate ($)</t>
  </si>
  <si>
    <t>LTM Revenue ($)</t>
  </si>
  <si>
    <t>Spotify</t>
  </si>
  <si>
    <t>Apple Music</t>
  </si>
  <si>
    <t>YouTube Music</t>
  </si>
  <si>
    <t>Amazon Music</t>
  </si>
  <si>
    <t>Tidal</t>
  </si>
  <si>
    <t>Other DSPs</t>
  </si>
  <si>
    <t>Total</t>
  </si>
  <si>
    <t>Blended PSR = Total Revenue / Total Streams (weighted average)</t>
  </si>
  <si>
    <t>DSP Mix Analysis</t>
  </si>
  <si>
    <t>DSP</t>
  </si>
  <si>
    <t>Stream Share (%)</t>
  </si>
  <si>
    <t>Revenue Share (%)</t>
  </si>
  <si>
    <t>PSR vs. Blended</t>
  </si>
  <si>
    <t>Projection Assumptions</t>
  </si>
  <si>
    <t>Projection Period (Years)</t>
  </si>
  <si>
    <t>Typical: 10 years for music royalties</t>
  </si>
  <si>
    <t>Stream Decay Rate — Years 1-3 (%)</t>
  </si>
  <si>
    <t>Annual % change in streams; enter negative for decline (e.g. -5.0%)</t>
  </si>
  <si>
    <t>Stream Decay Rate — Years 4-7 (%)</t>
  </si>
  <si>
    <t>Streams typically decay faster as catalog ages</t>
  </si>
  <si>
    <t>Stream Decay Rate — Years 8-10 (%)</t>
  </si>
  <si>
    <t>Long-tail; older catalogs may stabilize here</t>
  </si>
  <si>
    <t>Annual PSR Growth Rate (%)</t>
  </si>
  <si>
    <t>Driven by DSP subscription price increases (~1-3%)</t>
  </si>
  <si>
    <t>Discount Rate / WACC (%)</t>
  </si>
  <si>
    <t>Typical: 10-15% for music royalties (illiquid asset)</t>
  </si>
  <si>
    <t>Terminal Growth Rate (%)</t>
  </si>
  <si>
    <t>Perpetual rate for terminal value; usually negative (-2% to 0%)</t>
  </si>
  <si>
    <t>Discounted Cash Flow Model — Music Royalty Streams</t>
  </si>
  <si>
    <t>All formulas are pre-built — they pull from the Assumptions tab automatically</t>
  </si>
  <si>
    <t>Metric</t>
  </si>
  <si>
    <t>LTM (Base)</t>
  </si>
  <si>
    <t>Year 1</t>
  </si>
  <si>
    <t>Year 2</t>
  </si>
  <si>
    <t>Year 3</t>
  </si>
  <si>
    <t>Year 4</t>
  </si>
  <si>
    <t>Year 5</t>
  </si>
  <si>
    <t>Year 6</t>
  </si>
  <si>
    <t>Year 7</t>
  </si>
  <si>
    <t>Year 8</t>
  </si>
  <si>
    <t>Year 9</t>
  </si>
  <si>
    <t>Year 10</t>
  </si>
  <si>
    <t>Total Streams</t>
  </si>
  <si>
    <t>Stream Growth (%)</t>
  </si>
  <si>
    <t>—</t>
  </si>
  <si>
    <t>Blended Per-Stream Rate ($)</t>
  </si>
  <si>
    <t>Gross Royalty Revenue ($)</t>
  </si>
  <si>
    <t>Net Revenue (After Ownership %)</t>
  </si>
  <si>
    <t>Revenue Growth (%)</t>
  </si>
  <si>
    <t>Discounting</t>
  </si>
  <si>
    <t>Discount Rate (WACC)</t>
  </si>
  <si>
    <t>Discount Factor</t>
  </si>
  <si>
    <t>PV of Royalty Cash Flow ($)</t>
  </si>
  <si>
    <t>Valuation Summary</t>
  </si>
  <si>
    <t>Sum of PV of Projected Cash Flows ($)</t>
  </si>
  <si>
    <t>Terminal Value (Gordon Growth Model)</t>
  </si>
  <si>
    <t>PV of Terminal Value ($)</t>
  </si>
  <si>
    <t>Implied Catalog Value ($)</t>
  </si>
  <si>
    <t>Implied LTM Multiple (Price / LTM Revenue)</t>
  </si>
  <si>
    <t>% of Value from Terminal Value</t>
  </si>
  <si>
    <t>Market Benchmarks (Duetti/Billboard Music Finance Index)</t>
  </si>
  <si>
    <t>Catalog Age</t>
  </si>
  <si>
    <t>Masters Multiple</t>
  </si>
  <si>
    <t>Publishing Multiple</t>
  </si>
  <si>
    <t>2-5 Years</t>
  </si>
  <si>
    <t>3.5x - 9.5x</t>
  </si>
  <si>
    <t>3.2x - 9.8x</t>
  </si>
  <si>
    <t>5-10 Years</t>
  </si>
  <si>
    <t>5.7x - 12.5x</t>
  </si>
  <si>
    <t>6.1x - 13.9x</t>
  </si>
  <si>
    <t>10+ Years</t>
  </si>
  <si>
    <t>5.8x - 14x+</t>
  </si>
  <si>
    <t>8.7x - 16x+</t>
  </si>
  <si>
    <t>Sensitivity Analysis — Catalog Valuation</t>
  </si>
  <si>
    <t>WACC ↓  /  Terminal g →</t>
  </si>
  <si>
    <t>Implied LTM Multiple</t>
  </si>
  <si>
    <t>Yr1-3 Decay ↓  /  PSR g →</t>
  </si>
  <si>
    <t>Model Methodology &amp; Key Concepts</t>
  </si>
  <si>
    <t>1. Per-Stream Rates (PSRs)</t>
  </si>
  <si>
    <t xml:space="preserve"> A Per-Stream Rate is the amount of money paid to right's holders a song is played on DSP's. Many DSP's pay various royalties like Apple Music ($0.01) and Spotify ($0.004) since Apple Music doesn't have a free tier. The mix that Drake has through all the DSP's results in a PSR around $0.005. PSR's are going up because of the fact that DSP's are raising their subscription prices. The Duetti Music Economics Report also talks about how 1000 streams generated an average of $3.41 in 2024.</t>
  </si>
  <si>
    <t>2. DSP Mix</t>
  </si>
  <si>
    <t>The distribution of Drake's streams across various platforms matters for revenue because of the fact that many of the streams are on Spotify but Apple Music contributes more revenue because it has a higher PSR. This shows why DSP analysis is very important for Duetti's underwriting processes since many artists can have various streams with very similar revnue profiles based on the platform distribution.</t>
  </si>
  <si>
    <t>3. Stream Decay Curves</t>
  </si>
  <si>
    <t>Drake's catalog shows very unusually low decay. He has 17.6B Spotify streams in 2025 without a single solo album release. As per the Duetti/Billboard Music Finance index, younger catalogs show much more steeper decay curves. Drake's much more older hits (Take Care era, 10+ years) have essentially steadied, making his catalog a very good asset.</t>
  </si>
  <si>
    <t>4. Catalog Multiples &amp; Market Benchmarks</t>
  </si>
  <si>
    <t xml:space="preserve"> The Billboard/Duetti Music Finance Index shows that masters which are trading at 3.5x-13x+ LTM revenue depending on age and stability. Drake's weighted average catalog (low volatility &amp; massive scale) would trade on the premium end. His $400M UMG deal, against estimated $50M annual catalog revenue, indicates that there is roughly an 8x multiple which is consistent with a premium 5-10 year catalog.</t>
  </si>
  <si>
    <t>5. DCF Methodology</t>
  </si>
  <si>
    <t>A 10% WACC gets used and that reflects Drake's lower risk: large scale, very diversified across DSP's, a proven track record, and classic hits. The terminal value uses the -2% terminal growth rate. For Duetti's more usual indie artist deals, the WACC would be higher since here would be smaller, more volatile catalogs.</t>
  </si>
  <si>
    <t>6. Rights Types (Masters vs. Publishing)</t>
  </si>
  <si>
    <t>Each song has two versions of copyrights: the master recording (the real audio) and the musical compostion. Masters are owned by whoever financed the recording, and it's usually a label for signed artists. Publishing rights belong to the songwriters. Masters earn from streaming, sync fees, and downloads. Publishing earns from performance royalties and it's own sync fees and it also trades at a premium because compositions have longer copyright lives, benefit from rate increses, and make income across many recordings (remixes, covers). Drake's 75% ownershup under OVO/UMG covers both types of rights, which is why the implied 5.7x (Duetti/Billboard Music Finance Index) multiple falls at the lower end of the masters range and the label split discounts the full combined value.</t>
  </si>
  <si>
    <t>7. Key Findings &amp; Sensitivity Insights</t>
  </si>
  <si>
    <t>The catalog’s value mainly depends on how predictable and long-lasting its streaming income is. Lower risk increases value, while higher risk lowers it because royalty income comes in over many years. The most important factor is whether listeners continue streaming the music over time. Price increases help, but they cannot make up for falling popularity, which is why investors pay more for catalogs with music that stays relevant.</t>
  </si>
  <si>
    <t>MODEL LIMITATIONS:</t>
  </si>
  <si>
    <t>This model only talks about streaming royalties. A much more proper valuation would have: film/TV placement revenue, performance royalties, Youtube ad revenue, merchandise revenue, and area-based revenue segmentation. Along with that, Drake's full out deal structure with UMG would be private and would include much more other streams of income.</t>
  </si>
  <si>
    <t>DATA SOURCES:</t>
  </si>
  <si>
    <t>Kworb.net (Spotify chart data), Chartmasters.org (all-time stream totals), AllHipHop/HotNewHipHop (2025 streaming milestones), Duetti Music Economics Report 2024, Duetti/Billboard Music Finance Index, Celebrity Net Worth (UMG deal valuation), Royalty Exchange (transaction multiples), Spotify Wrapped 2025. (All sourced from Perplexity and Claude)</t>
  </si>
  <si>
    <t>Per-Stream Rate Reference Table (2024-2025 Estimates)</t>
  </si>
  <si>
    <t>Low Estimate ($)</t>
  </si>
  <si>
    <t>High Estimate ($)</t>
  </si>
  <si>
    <t>Notes</t>
  </si>
  <si>
    <t>Pro-rata model; varies by country, free vs premium</t>
  </si>
  <si>
    <t>Higher PSR; all paid subscribers, no free tier</t>
  </si>
  <si>
    <t>Includes ad-supported; lower blended rate</t>
  </si>
  <si>
    <t>Mix of Unlimited, Prime, and free tiers</t>
  </si>
  <si>
    <t>Highest PSR; smaller user base, premium focus</t>
  </si>
  <si>
    <t>Deezer</t>
  </si>
  <si>
    <t>Artist-centric model as of 2024</t>
  </si>
  <si>
    <t>SoundCloud</t>
  </si>
  <si>
    <t>Fan-powered royalties for eligible artists</t>
  </si>
  <si>
    <t>Pandora</t>
  </si>
  <si>
    <t>Non-interactive radio model</t>
  </si>
  <si>
    <t>Source: Duetti Music Economics Report, Royalty Exchange, industry estimates</t>
  </si>
  <si>
    <t>Note: Actual PSRs vary by territory, subscription tier, and time period. These are US-weighted averages.</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</si>
</sst>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000"/>
    <numFmt numFmtId="165" formatCode="\$#,##0"/>
    <numFmt numFmtId="166" formatCode="0.0%"/>
    <numFmt numFmtId="167" formatCode="0.0\x"/>
    <numFmt numFmtId="168" formatCode="0.0000"/>
  </numFmts>
  <fonts count="15">
    <font>
      <sz val="11.0"/>
      <color theme="1"/>
      <name val="Calibri"/>
      <scheme val="minor"/>
    </font>
    <font>
      <b/>
      <sz val="14.0"/>
      <color rgb="FF000000"/>
      <name val="Arial"/>
    </font>
    <font>
      <i/>
      <sz val="11.0"/>
      <color rgb="FF666666"/>
      <name val="Arial"/>
    </font>
    <font>
      <i/>
      <sz val="10.0"/>
      <color rgb="FFCC0000"/>
      <name val="Arial"/>
    </font>
    <font>
      <b/>
      <sz val="12.0"/>
      <color rgb="FF000000"/>
      <name val="Arial"/>
    </font>
    <font>
      <sz val="11.0"/>
      <color theme="1"/>
      <name val="Calibri"/>
    </font>
    <font>
      <b/>
      <sz val="11.0"/>
      <color rgb="FF000000"/>
      <name val="Arial"/>
    </font>
    <font>
      <sz val="11.0"/>
      <color rgb="FF0000FF"/>
      <name val="Arial"/>
    </font>
    <font>
      <i/>
      <sz val="9.0"/>
      <color rgb="FF666666"/>
      <name val="Arial"/>
    </font>
    <font>
      <b/>
      <sz val="11.0"/>
      <color rgb="FFFFFFFF"/>
      <name val="Arial"/>
    </font>
    <font>
      <sz val="11.0"/>
      <color rgb="FF000000"/>
      <name val="Arial"/>
    </font>
    <font>
      <b/>
      <color theme="1"/>
      <name val="Calibri"/>
      <scheme val="minor"/>
    </font>
    <font>
      <b/>
      <sz val="13.0"/>
      <color rgb="FF000000"/>
      <name val="Arial"/>
    </font>
    <font>
      <b/>
      <sz val="11.0"/>
      <color rgb="FF0000FF"/>
      <name val="Arial"/>
    </font>
    <font>
      <color theme="1"/>
      <name val="Calibri"/>
      <scheme val="minor"/>
    </font>
  </fonts>
  <fills count="8">
    <fill>
      <patternFill patternType="none"/>
    </fill>
    <fill>
      <patternFill patternType="lightGray"/>
    </fill>
    <fill>
      <patternFill patternType="solid">
        <fgColor rgb="FFD6E4F0"/>
        <bgColor rgb="FFD6E4F0"/>
      </patternFill>
    </fill>
    <fill>
      <patternFill patternType="solid">
        <fgColor rgb="FFFFFF00"/>
        <bgColor rgb="FFFFFF00"/>
      </patternFill>
    </fill>
    <fill>
      <patternFill patternType="solid">
        <fgColor rgb="FFFFFFFF"/>
        <bgColor rgb="FFFFFFFF"/>
      </patternFill>
    </fill>
    <fill>
      <patternFill patternType="solid">
        <fgColor rgb="FF2F3E55"/>
        <bgColor rgb="FF2F3E55"/>
      </patternFill>
    </fill>
    <fill>
      <patternFill patternType="solid">
        <fgColor rgb="FFF2F2F2"/>
        <bgColor rgb="FFF2F2F2"/>
      </patternFill>
    </fill>
    <fill>
      <patternFill patternType="solid">
        <fgColor rgb="FFE2EFDA"/>
        <bgColor rgb="FFE2EFDA"/>
      </patternFill>
    </fill>
  </fills>
  <borders count="4">
    <border/>
    <border>
      <left style="thin">
        <color rgb="FF000000"/>
      </left>
      <right style="thin">
        <color rgb="FF000000"/>
      </right>
      <top style="thin">
        <color rgb="FF000000"/>
      </top>
      <bottom style="thin">
        <color rgb="FF000000"/>
      </bottom>
    </border>
    <border>
      <bottom style="double">
        <color rgb="FF000000"/>
      </bottom>
    </border>
    <border>
      <left/>
      <right/>
      <top/>
      <bottom style="double">
        <color rgb="FF000000"/>
      </bottom>
    </border>
  </borders>
  <cellStyleXfs count="1">
    <xf borderId="0" fillId="0" fontId="0" numFmtId="0" applyAlignment="1" applyFont="1"/>
  </cellStyleXfs>
  <cellXfs count="46">
    <xf borderId="0" fillId="0" fontId="0" numFmtId="0" xfId="0" applyAlignment="1" applyFont="1">
      <alignment readingOrder="0" shrinkToFit="0" vertical="bottom" wrapText="0"/>
    </xf>
    <xf borderId="1" fillId="0" fontId="1" numFmtId="0" xfId="0" applyAlignment="1" applyBorder="1" applyFont="1">
      <alignment horizontal="left" shrinkToFit="0" vertical="center" wrapText="0"/>
    </xf>
    <xf borderId="1" fillId="0" fontId="2" numFmtId="0" xfId="0" applyAlignment="1" applyBorder="1" applyFont="1">
      <alignment horizontal="left" shrinkToFit="0" vertical="center" wrapText="0"/>
    </xf>
    <xf borderId="1" fillId="0" fontId="3" numFmtId="0" xfId="0" applyAlignment="1" applyBorder="1" applyFont="1">
      <alignment horizontal="left" readingOrder="0" shrinkToFit="0" vertical="center" wrapText="0"/>
    </xf>
    <xf borderId="1" fillId="2" fontId="4" numFmtId="0" xfId="0" applyAlignment="1" applyBorder="1" applyFill="1" applyFont="1">
      <alignment horizontal="left" shrinkToFit="0" vertical="center" wrapText="0"/>
    </xf>
    <xf borderId="1" fillId="2" fontId="5" numFmtId="0" xfId="0" applyAlignment="1" applyBorder="1" applyFont="1">
      <alignment shrinkToFit="0" vertical="bottom" wrapText="0"/>
    </xf>
    <xf borderId="1" fillId="0" fontId="6" numFmtId="0" xfId="0" applyAlignment="1" applyBorder="1" applyFont="1">
      <alignment horizontal="left" shrinkToFit="0" vertical="center" wrapText="0"/>
    </xf>
    <xf borderId="1" fillId="3" fontId="7" numFmtId="0" xfId="0" applyAlignment="1" applyBorder="1" applyFill="1" applyFont="1">
      <alignment horizontal="center" readingOrder="0" shrinkToFit="0" vertical="center" wrapText="0"/>
    </xf>
    <xf borderId="1" fillId="3" fontId="7" numFmtId="1" xfId="0" applyAlignment="1" applyBorder="1" applyFont="1" applyNumberFormat="1">
      <alignment horizontal="center" readingOrder="0" shrinkToFit="0" vertical="center" wrapText="0"/>
    </xf>
    <xf borderId="1" fillId="3" fontId="7" numFmtId="9" xfId="0" applyAlignment="1" applyBorder="1" applyFont="1" applyNumberFormat="1">
      <alignment horizontal="center" readingOrder="0" shrinkToFit="0" vertical="center" wrapText="0"/>
    </xf>
    <xf borderId="1" fillId="4" fontId="8" numFmtId="0" xfId="0" applyAlignment="1" applyBorder="1" applyFill="1" applyFont="1">
      <alignment horizontal="left" readingOrder="0" shrinkToFit="0" vertical="center" wrapText="1"/>
    </xf>
    <xf borderId="1" fillId="5" fontId="9" numFmtId="0" xfId="0" applyAlignment="1" applyBorder="1" applyFill="1" applyFont="1">
      <alignment horizontal="center" shrinkToFit="0" vertical="center" wrapText="0"/>
    </xf>
    <xf borderId="1" fillId="0" fontId="10" numFmtId="0" xfId="0" applyAlignment="1" applyBorder="1" applyFont="1">
      <alignment horizontal="left" shrinkToFit="0" vertical="center" wrapText="0"/>
    </xf>
    <xf borderId="1" fillId="3" fontId="7" numFmtId="3" xfId="0" applyAlignment="1" applyBorder="1" applyFont="1" applyNumberFormat="1">
      <alignment horizontal="center"/>
    </xf>
    <xf borderId="1" fillId="3" fontId="7" numFmtId="164" xfId="0" applyAlignment="1" applyBorder="1" applyFont="1" applyNumberFormat="1">
      <alignment horizontal="center"/>
    </xf>
    <xf borderId="1" fillId="0" fontId="10" numFmtId="165" xfId="0" applyAlignment="1" applyBorder="1" applyFont="1" applyNumberFormat="1">
      <alignment horizontal="center" shrinkToFit="0" vertical="center" wrapText="0"/>
    </xf>
    <xf borderId="1" fillId="6" fontId="6" numFmtId="0" xfId="0" applyAlignment="1" applyBorder="1" applyFill="1" applyFont="1">
      <alignment horizontal="left" shrinkToFit="0" vertical="center" wrapText="0"/>
    </xf>
    <xf borderId="1" fillId="6" fontId="6" numFmtId="3" xfId="0" applyAlignment="1" applyBorder="1" applyFont="1" applyNumberFormat="1">
      <alignment horizontal="center" shrinkToFit="0" vertical="center" wrapText="0"/>
    </xf>
    <xf borderId="1" fillId="6" fontId="6" numFmtId="164" xfId="0" applyAlignment="1" applyBorder="1" applyFont="1" applyNumberFormat="1">
      <alignment horizontal="center" shrinkToFit="0" vertical="center" wrapText="0"/>
    </xf>
    <xf borderId="1" fillId="7" fontId="6" numFmtId="165" xfId="0" applyAlignment="1" applyBorder="1" applyFill="1" applyFont="1" applyNumberFormat="1">
      <alignment horizontal="center" shrinkToFit="0" vertical="center" wrapText="0"/>
    </xf>
    <xf borderId="1" fillId="4" fontId="8" numFmtId="0" xfId="0" applyAlignment="1" applyBorder="1" applyFont="1">
      <alignment horizontal="left" shrinkToFit="0" vertical="center" wrapText="1"/>
    </xf>
    <xf borderId="1" fillId="0" fontId="10" numFmtId="166" xfId="0" applyAlignment="1" applyBorder="1" applyFont="1" applyNumberFormat="1">
      <alignment horizontal="center" shrinkToFit="0" vertical="center" wrapText="0"/>
    </xf>
    <xf borderId="1" fillId="0" fontId="10" numFmtId="167" xfId="0" applyAlignment="1" applyBorder="1" applyFont="1" applyNumberFormat="1">
      <alignment horizontal="center" shrinkToFit="0" vertical="center" wrapText="0"/>
    </xf>
    <xf borderId="1" fillId="3" fontId="7" numFmtId="166" xfId="0" applyAlignment="1" applyBorder="1" applyFont="1" applyNumberFormat="1">
      <alignment horizontal="center" readingOrder="0" shrinkToFit="0" vertical="center" wrapText="0"/>
    </xf>
    <xf borderId="0" fillId="0" fontId="11" numFmtId="0" xfId="0" applyAlignment="1" applyFont="1">
      <alignment readingOrder="0"/>
    </xf>
    <xf borderId="1" fillId="0" fontId="3" numFmtId="0" xfId="0" applyAlignment="1" applyBorder="1" applyFont="1">
      <alignment horizontal="left" shrinkToFit="0" vertical="center" wrapText="0"/>
    </xf>
    <xf borderId="1" fillId="6" fontId="10" numFmtId="3" xfId="0" applyAlignment="1" applyBorder="1" applyFont="1" applyNumberFormat="1">
      <alignment horizontal="center" shrinkToFit="0" vertical="center" wrapText="0"/>
    </xf>
    <xf borderId="1" fillId="0" fontId="10" numFmtId="3" xfId="0" applyAlignment="1" applyBorder="1" applyFont="1" applyNumberFormat="1">
      <alignment horizontal="center" shrinkToFit="0" vertical="center" wrapText="0"/>
    </xf>
    <xf borderId="1" fillId="6" fontId="10" numFmtId="0" xfId="0" applyAlignment="1" applyBorder="1" applyFont="1">
      <alignment horizontal="center" shrinkToFit="0" vertical="center" wrapText="0"/>
    </xf>
    <xf borderId="1" fillId="6" fontId="10" numFmtId="164" xfId="0" applyAlignment="1" applyBorder="1" applyFont="1" applyNumberFormat="1">
      <alignment horizontal="center" shrinkToFit="0" vertical="center" wrapText="0"/>
    </xf>
    <xf borderId="1" fillId="0" fontId="10" numFmtId="164" xfId="0" applyAlignment="1" applyBorder="1" applyFont="1" applyNumberFormat="1">
      <alignment horizontal="center" shrinkToFit="0" vertical="center" wrapText="0"/>
    </xf>
    <xf borderId="1" fillId="6" fontId="10" numFmtId="166" xfId="0" applyAlignment="1" applyBorder="1" applyFont="1" applyNumberFormat="1">
      <alignment horizontal="center" shrinkToFit="0" vertical="center" wrapText="0"/>
    </xf>
    <xf borderId="1" fillId="0" fontId="10" numFmtId="168" xfId="0" applyAlignment="1" applyBorder="1" applyFont="1" applyNumberFormat="1">
      <alignment horizontal="center" shrinkToFit="0" vertical="center" wrapText="0"/>
    </xf>
    <xf borderId="1" fillId="0" fontId="6" numFmtId="165" xfId="0" applyAlignment="1" applyBorder="1" applyFont="1" applyNumberFormat="1">
      <alignment horizontal="center" shrinkToFit="0" vertical="center" wrapText="0"/>
    </xf>
    <xf borderId="2" fillId="0" fontId="12" numFmtId="0" xfId="0" applyAlignment="1" applyBorder="1" applyFont="1">
      <alignment horizontal="left" shrinkToFit="0" vertical="center" wrapText="0"/>
    </xf>
    <xf borderId="3" fillId="7" fontId="12" numFmtId="165" xfId="0" applyAlignment="1" applyBorder="1" applyFont="1" applyNumberFormat="1">
      <alignment horizontal="center" shrinkToFit="0" vertical="center" wrapText="0"/>
    </xf>
    <xf borderId="1" fillId="7" fontId="6" numFmtId="167" xfId="0" applyAlignment="1" applyBorder="1" applyFont="1" applyNumberFormat="1">
      <alignment horizontal="center" shrinkToFit="0" vertical="center" wrapText="0"/>
    </xf>
    <xf borderId="1" fillId="0" fontId="10" numFmtId="0" xfId="0" applyAlignment="1" applyBorder="1" applyFont="1">
      <alignment horizontal="center" shrinkToFit="0" vertical="center" wrapText="0"/>
    </xf>
    <xf borderId="1" fillId="0" fontId="4" numFmtId="0" xfId="0" applyAlignment="1" applyBorder="1" applyFont="1">
      <alignment horizontal="left" shrinkToFit="0" vertical="center" wrapText="0"/>
    </xf>
    <xf borderId="1" fillId="5" fontId="9" numFmtId="166" xfId="0" applyAlignment="1" applyBorder="1" applyFont="1" applyNumberFormat="1">
      <alignment horizontal="center" shrinkToFit="0" vertical="center" wrapText="0"/>
    </xf>
    <xf borderId="1" fillId="3" fontId="13" numFmtId="166" xfId="0" applyAlignment="1" applyBorder="1" applyFont="1" applyNumberFormat="1">
      <alignment horizontal="center" shrinkToFit="0" vertical="center" wrapText="0"/>
    </xf>
    <xf borderId="1" fillId="4" fontId="10" numFmtId="165" xfId="0" applyAlignment="1" applyBorder="1" applyFont="1" applyNumberFormat="1">
      <alignment horizontal="center" shrinkToFit="0" vertical="center" wrapText="0"/>
    </xf>
    <xf borderId="1" fillId="4" fontId="10" numFmtId="167" xfId="0" applyAlignment="1" applyBorder="1" applyFont="1" applyNumberFormat="1">
      <alignment horizontal="center" shrinkToFit="0" vertical="center" wrapText="0"/>
    </xf>
    <xf borderId="1" fillId="3" fontId="3" numFmtId="0" xfId="0" applyAlignment="1" applyBorder="1" applyFont="1">
      <alignment horizontal="left" readingOrder="0" shrinkToFit="0" vertical="center" wrapText="1"/>
    </xf>
    <xf borderId="0" fillId="0" fontId="14" numFmtId="0" xfId="0" applyAlignment="1" applyFont="1">
      <alignment readingOrder="0"/>
    </xf>
    <xf borderId="1" fillId="0" fontId="8" numFmtId="0" xfId="0" applyAlignment="1" applyBorder="1" applyFont="1">
      <alignment horizontal="left" shrinkToFit="0" vertical="center"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customschemas.google.com/relationships/workbookmetadata" Target="metadata"/><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3E55"/>
    <pageSetUpPr/>
  </sheetPr>
  <sheetViews>
    <sheetView workbookViewId="0"/>
  </sheetViews>
  <sheetFormatPr customHeight="1" defaultColWidth="14.43" defaultRowHeight="15.0"/>
  <cols>
    <col customWidth="1" min="1" max="1" width="3.0"/>
    <col customWidth="1" min="2" max="2" width="42.0"/>
    <col customWidth="1" min="3" max="3" width="21.43"/>
    <col customWidth="1" min="4" max="4" width="58.71"/>
    <col customWidth="1" min="5" max="5" width="18.0"/>
    <col customWidth="1" min="6" max="6" width="45.0"/>
    <col customWidth="1" min="7" max="26" width="8.71"/>
  </cols>
  <sheetData>
    <row r="1">
      <c r="B1" s="1" t="s">
        <v>0</v>
      </c>
    </row>
    <row r="2">
      <c r="B2" s="2" t="s">
        <v>1</v>
      </c>
    </row>
    <row r="3">
      <c r="B3" s="3" t="s">
        <v>2</v>
      </c>
    </row>
    <row r="5">
      <c r="B5" s="4" t="s">
        <v>3</v>
      </c>
      <c r="C5" s="5"/>
      <c r="D5" s="5"/>
      <c r="E5" s="5"/>
    </row>
    <row r="6">
      <c r="B6" s="6" t="s">
        <v>4</v>
      </c>
      <c r="C6" s="7" t="s">
        <v>5</v>
      </c>
    </row>
    <row r="7">
      <c r="B7" s="6" t="s">
        <v>6</v>
      </c>
      <c r="C7" s="8">
        <v>750.0</v>
      </c>
    </row>
    <row r="8">
      <c r="B8" s="6" t="s">
        <v>7</v>
      </c>
      <c r="C8" s="8">
        <v>8.0</v>
      </c>
    </row>
    <row r="9">
      <c r="B9" s="6" t="s">
        <v>8</v>
      </c>
      <c r="C9" s="7" t="s">
        <v>9</v>
      </c>
    </row>
    <row r="10">
      <c r="B10" s="6" t="s">
        <v>10</v>
      </c>
      <c r="C10" s="9">
        <v>0.75</v>
      </c>
      <c r="F10" s="10" t="s">
        <v>11</v>
      </c>
    </row>
    <row r="12">
      <c r="B12" s="4" t="s">
        <v>12</v>
      </c>
      <c r="C12" s="5"/>
      <c r="D12" s="5"/>
      <c r="E12" s="5"/>
    </row>
    <row r="13">
      <c r="B13" s="11" t="s">
        <v>13</v>
      </c>
      <c r="C13" s="11" t="s">
        <v>14</v>
      </c>
      <c r="D13" s="11" t="s">
        <v>15</v>
      </c>
      <c r="E13" s="11" t="s">
        <v>16</v>
      </c>
    </row>
    <row r="14">
      <c r="B14" s="12" t="s">
        <v>17</v>
      </c>
      <c r="C14" s="13">
        <v>1.88E10</v>
      </c>
      <c r="D14" s="14">
        <v>0.004</v>
      </c>
      <c r="E14" s="15">
        <f t="shared" ref="E14:E19" si="1">C14*D14</f>
        <v>75200000</v>
      </c>
    </row>
    <row r="15">
      <c r="B15" s="12" t="s">
        <v>18</v>
      </c>
      <c r="C15" s="13">
        <v>6.5E9</v>
      </c>
      <c r="D15" s="14">
        <v>0.01</v>
      </c>
      <c r="E15" s="15">
        <f t="shared" si="1"/>
        <v>65000000</v>
      </c>
    </row>
    <row r="16">
      <c r="B16" s="12" t="s">
        <v>19</v>
      </c>
      <c r="C16" s="13">
        <v>8.0E9</v>
      </c>
      <c r="D16" s="14">
        <v>0.002</v>
      </c>
      <c r="E16" s="15">
        <f t="shared" si="1"/>
        <v>16000000</v>
      </c>
    </row>
    <row r="17">
      <c r="B17" s="12" t="s">
        <v>20</v>
      </c>
      <c r="C17" s="13">
        <v>3.2E9</v>
      </c>
      <c r="D17" s="14">
        <v>0.005</v>
      </c>
      <c r="E17" s="15">
        <f t="shared" si="1"/>
        <v>16000000</v>
      </c>
    </row>
    <row r="18">
      <c r="B18" s="12" t="s">
        <v>21</v>
      </c>
      <c r="C18" s="13">
        <v>8.0E8</v>
      </c>
      <c r="D18" s="14">
        <v>0.013</v>
      </c>
      <c r="E18" s="15">
        <f t="shared" si="1"/>
        <v>10400000</v>
      </c>
    </row>
    <row r="19">
      <c r="B19" s="12" t="s">
        <v>22</v>
      </c>
      <c r="C19" s="13">
        <v>1.5E9</v>
      </c>
      <c r="D19" s="14">
        <v>0.003</v>
      </c>
      <c r="E19" s="15">
        <f t="shared" si="1"/>
        <v>4500000</v>
      </c>
    </row>
    <row r="20">
      <c r="B20" s="16" t="s">
        <v>23</v>
      </c>
      <c r="C20" s="17">
        <f>SUM(C14:C19)</f>
        <v>38800000000</v>
      </c>
      <c r="D20" s="18">
        <f>IF(C20=0,0,E20/C20)</f>
        <v>0.004822164948</v>
      </c>
      <c r="E20" s="19">
        <f>SUM(E14:E19)</f>
        <v>187100000</v>
      </c>
    </row>
    <row r="21" ht="15.75" customHeight="1">
      <c r="F21" s="20" t="s">
        <v>24</v>
      </c>
    </row>
    <row r="22" ht="15.75" customHeight="1"/>
    <row r="23" ht="15.75" customHeight="1">
      <c r="B23" s="4" t="s">
        <v>25</v>
      </c>
      <c r="C23" s="5"/>
      <c r="D23" s="5"/>
      <c r="E23" s="5"/>
    </row>
    <row r="24" ht="15.75" customHeight="1">
      <c r="B24" s="11" t="s">
        <v>26</v>
      </c>
      <c r="C24" s="11" t="s">
        <v>27</v>
      </c>
      <c r="D24" s="11" t="s">
        <v>28</v>
      </c>
      <c r="E24" s="11" t="s">
        <v>29</v>
      </c>
    </row>
    <row r="25" ht="15.75" customHeight="1">
      <c r="B25" s="12" t="s">
        <v>17</v>
      </c>
      <c r="C25" s="21">
        <f>IF(C20=0,0,C14/C20)</f>
        <v>0.4845360825</v>
      </c>
      <c r="D25" s="21">
        <f>IF(E20=0,0,E14/E20)</f>
        <v>0.4019241048</v>
      </c>
      <c r="E25" s="22">
        <f>IF(D20=0,0,D14/D20)</f>
        <v>0.8295029396</v>
      </c>
    </row>
    <row r="26" ht="15.75" customHeight="1">
      <c r="B26" s="12" t="s">
        <v>18</v>
      </c>
      <c r="C26" s="21">
        <f>IF(C20=0,0,C15/C20)</f>
        <v>0.1675257732</v>
      </c>
      <c r="D26" s="21">
        <f>IF(E20=0,0,E15/E20)</f>
        <v>0.3474078033</v>
      </c>
      <c r="E26" s="22">
        <f>IF(D20=0,0,D15/D20)</f>
        <v>2.073757349</v>
      </c>
    </row>
    <row r="27" ht="15.75" customHeight="1">
      <c r="B27" s="12" t="s">
        <v>19</v>
      </c>
      <c r="C27" s="21">
        <f>IF(C20=0,0,C16/C20)</f>
        <v>0.206185567</v>
      </c>
      <c r="D27" s="21">
        <f>IF(E20=0,0,E16/E20)</f>
        <v>0.08551576697</v>
      </c>
      <c r="E27" s="22">
        <f>IF(D20=0,0,D16/D20)</f>
        <v>0.4147514698</v>
      </c>
    </row>
    <row r="28" ht="15.75" customHeight="1">
      <c r="B28" s="12" t="s">
        <v>20</v>
      </c>
      <c r="C28" s="21">
        <f>IF(C20=0,0,C17/C20)</f>
        <v>0.0824742268</v>
      </c>
      <c r="D28" s="21">
        <f>IF(E20=0,0,E17/E20)</f>
        <v>0.08551576697</v>
      </c>
      <c r="E28" s="22">
        <f>IF(D20=0,0,D17/D20)</f>
        <v>1.036878675</v>
      </c>
    </row>
    <row r="29" ht="15.75" customHeight="1">
      <c r="B29" s="12" t="s">
        <v>21</v>
      </c>
      <c r="C29" s="21">
        <f>IF(C20=0,0,C18/C20)</f>
        <v>0.0206185567</v>
      </c>
      <c r="D29" s="21">
        <f>IF(E20=0,0,E18/E20)</f>
        <v>0.05558524853</v>
      </c>
      <c r="E29" s="22">
        <f>IF(D20=0,0,D18/D20)</f>
        <v>2.695884554</v>
      </c>
    </row>
    <row r="30" ht="15.75" customHeight="1">
      <c r="B30" s="12" t="s">
        <v>22</v>
      </c>
      <c r="C30" s="21">
        <f>IF(C20=0,0,C19/C20)</f>
        <v>0.03865979381</v>
      </c>
      <c r="D30" s="21">
        <f>IF(E20=0,0,E19/E20)</f>
        <v>0.02405130946</v>
      </c>
      <c r="E30" s="22">
        <f>IF(D20=0,0,D19/D20)</f>
        <v>0.6221272047</v>
      </c>
    </row>
    <row r="31" ht="15.75" customHeight="1"/>
    <row r="32" ht="15.75" customHeight="1">
      <c r="B32" s="4" t="s">
        <v>30</v>
      </c>
      <c r="C32" s="5"/>
      <c r="D32" s="5"/>
      <c r="E32" s="5"/>
    </row>
    <row r="33" ht="15.75" customHeight="1">
      <c r="B33" s="6" t="s">
        <v>31</v>
      </c>
      <c r="C33" s="8">
        <v>10.0</v>
      </c>
      <c r="F33" s="20" t="s">
        <v>32</v>
      </c>
    </row>
    <row r="34" ht="15.75" customHeight="1">
      <c r="B34" s="6" t="s">
        <v>33</v>
      </c>
      <c r="C34" s="23">
        <v>-0.03</v>
      </c>
      <c r="F34" s="20" t="s">
        <v>34</v>
      </c>
    </row>
    <row r="35" ht="15.75" customHeight="1">
      <c r="B35" s="6" t="s">
        <v>35</v>
      </c>
      <c r="C35" s="23">
        <v>-0.06</v>
      </c>
      <c r="F35" s="20" t="s">
        <v>36</v>
      </c>
    </row>
    <row r="36" ht="15.75" customHeight="1">
      <c r="B36" s="6" t="s">
        <v>37</v>
      </c>
      <c r="C36" s="23">
        <v>-0.08</v>
      </c>
      <c r="F36" s="20" t="s">
        <v>38</v>
      </c>
    </row>
    <row r="37" ht="15.75" customHeight="1">
      <c r="B37" s="6" t="s">
        <v>39</v>
      </c>
      <c r="C37" s="23">
        <v>0.02</v>
      </c>
      <c r="F37" s="20" t="s">
        <v>40</v>
      </c>
    </row>
    <row r="38" ht="15.75" customHeight="1">
      <c r="B38" s="6" t="s">
        <v>41</v>
      </c>
      <c r="C38" s="23">
        <v>0.1</v>
      </c>
      <c r="F38" s="20" t="s">
        <v>42</v>
      </c>
    </row>
    <row r="39" ht="15.75" customHeight="1">
      <c r="B39" s="6" t="s">
        <v>43</v>
      </c>
      <c r="C39" s="23">
        <v>-0.02</v>
      </c>
      <c r="F39" s="20" t="s">
        <v>44</v>
      </c>
    </row>
    <row r="40" ht="15.75" customHeight="1"/>
    <row r="41" ht="15.75" customHeight="1">
      <c r="B41" s="24"/>
    </row>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2F75B5"/>
    <pageSetUpPr/>
  </sheetPr>
  <sheetViews>
    <sheetView workbookViewId="0"/>
  </sheetViews>
  <sheetFormatPr customHeight="1" defaultColWidth="14.43" defaultRowHeight="15.0"/>
  <cols>
    <col customWidth="1" min="1" max="1" width="3.0"/>
    <col customWidth="1" min="2" max="2" width="71.57"/>
    <col customWidth="1" min="3" max="3" width="18.29"/>
    <col customWidth="1" min="4" max="4" width="20.29"/>
    <col customWidth="1" min="5" max="8" width="15.0"/>
    <col customWidth="1" min="9" max="10" width="15.71"/>
    <col customWidth="1" min="11" max="11" width="15.0"/>
    <col customWidth="1" min="12" max="13" width="15.71"/>
    <col customWidth="1" min="14" max="26" width="8.71"/>
  </cols>
  <sheetData>
    <row r="1">
      <c r="B1" s="1" t="s">
        <v>45</v>
      </c>
    </row>
    <row r="2">
      <c r="B2" s="25" t="s">
        <v>46</v>
      </c>
    </row>
    <row r="4">
      <c r="B4" s="11" t="s">
        <v>47</v>
      </c>
      <c r="C4" s="11" t="s">
        <v>48</v>
      </c>
      <c r="D4" s="11" t="s">
        <v>49</v>
      </c>
      <c r="E4" s="11" t="s">
        <v>50</v>
      </c>
      <c r="F4" s="11" t="s">
        <v>51</v>
      </c>
      <c r="G4" s="11" t="s">
        <v>52</v>
      </c>
      <c r="H4" s="11" t="s">
        <v>53</v>
      </c>
      <c r="I4" s="11" t="s">
        <v>54</v>
      </c>
      <c r="J4" s="11" t="s">
        <v>55</v>
      </c>
      <c r="K4" s="11" t="s">
        <v>56</v>
      </c>
      <c r="L4" s="11" t="s">
        <v>57</v>
      </c>
      <c r="M4" s="11" t="s">
        <v>58</v>
      </c>
    </row>
    <row r="5">
      <c r="B5" s="6" t="s">
        <v>59</v>
      </c>
      <c r="C5" s="26">
        <f>Assumptions!C20</f>
        <v>38800000000</v>
      </c>
      <c r="D5" s="27">
        <f>C5*(1+Assumptions!C30)</f>
        <v>40300000000</v>
      </c>
      <c r="E5" s="27">
        <f>D5*(1+Assumptions!D30)</f>
        <v>41269267771</v>
      </c>
      <c r="F5" s="27">
        <f>E5*(1+Assumptions!E30)</f>
        <v>66944001970</v>
      </c>
      <c r="G5" s="27">
        <f>F5*(1+Assumptions!F30)</f>
        <v>66944001970</v>
      </c>
      <c r="H5" s="27">
        <f>G5*(1+Assumptions!G30)</f>
        <v>66944001970</v>
      </c>
      <c r="I5" s="27">
        <f>H5*(1+Assumptions!H30)</f>
        <v>66944001970</v>
      </c>
      <c r="J5" s="27">
        <f>I5*(1+Assumptions!I30)</f>
        <v>66944001970</v>
      </c>
      <c r="K5" s="27">
        <f>J5*(1+Assumptions!J30)</f>
        <v>66944001970</v>
      </c>
      <c r="L5" s="27">
        <f>K5*(1+Assumptions!K30)</f>
        <v>66944001970</v>
      </c>
      <c r="M5" s="27">
        <f>L5*(1+Assumptions!L30)</f>
        <v>66944001970</v>
      </c>
    </row>
    <row r="6">
      <c r="B6" s="12" t="s">
        <v>60</v>
      </c>
      <c r="C6" s="28" t="s">
        <v>61</v>
      </c>
      <c r="D6" s="21">
        <f t="shared" ref="D6:M6" si="1">IF(C5=0,0,(D5-C5)/C5)</f>
        <v>0.03865979381</v>
      </c>
      <c r="E6" s="21">
        <f t="shared" si="1"/>
        <v>0.02405130946</v>
      </c>
      <c r="F6" s="21">
        <f t="shared" si="1"/>
        <v>0.6221272047</v>
      </c>
      <c r="G6" s="21">
        <f t="shared" si="1"/>
        <v>0</v>
      </c>
      <c r="H6" s="21">
        <f t="shared" si="1"/>
        <v>0</v>
      </c>
      <c r="I6" s="21">
        <f t="shared" si="1"/>
        <v>0</v>
      </c>
      <c r="J6" s="21">
        <f t="shared" si="1"/>
        <v>0</v>
      </c>
      <c r="K6" s="21">
        <f t="shared" si="1"/>
        <v>0</v>
      </c>
      <c r="L6" s="21">
        <f t="shared" si="1"/>
        <v>0</v>
      </c>
      <c r="M6" s="21">
        <f t="shared" si="1"/>
        <v>0</v>
      </c>
    </row>
    <row r="7">
      <c r="B7" s="6" t="s">
        <v>62</v>
      </c>
      <c r="C7" s="29">
        <f>Assumptions!D20</f>
        <v>0.004822164948</v>
      </c>
      <c r="D7" s="30">
        <f>C7*(1+Assumptions!C37)</f>
        <v>0.004918608247</v>
      </c>
      <c r="E7" s="30">
        <f>D7*(1+Assumptions!C37)</f>
        <v>0.005016980412</v>
      </c>
      <c r="F7" s="30">
        <f>E7*(1+Assumptions!C37)</f>
        <v>0.005117320021</v>
      </c>
      <c r="G7" s="30">
        <f>F7*(1+Assumptions!C37)</f>
        <v>0.005219666421</v>
      </c>
      <c r="H7" s="30">
        <f>G7*(1+Assumptions!C37)</f>
        <v>0.005324059749</v>
      </c>
      <c r="I7" s="30">
        <f>H7*(1+Assumptions!C37)</f>
        <v>0.005430540944</v>
      </c>
      <c r="J7" s="30">
        <f>I7*(1+Assumptions!C37)</f>
        <v>0.005539151763</v>
      </c>
      <c r="K7" s="30">
        <f>J7*(1+Assumptions!C37)</f>
        <v>0.005649934799</v>
      </c>
      <c r="L7" s="30">
        <f>K7*(1+Assumptions!C37)</f>
        <v>0.005762933495</v>
      </c>
      <c r="M7" s="30">
        <f>L7*(1+Assumptions!C37)</f>
        <v>0.005878192164</v>
      </c>
    </row>
    <row r="8">
      <c r="B8" s="6" t="s">
        <v>63</v>
      </c>
      <c r="C8" s="19">
        <f>Assumptions!E20</f>
        <v>187100000</v>
      </c>
      <c r="D8" s="19">
        <f t="shared" ref="D8:M8" si="2">D5*D7</f>
        <v>198219912.4</v>
      </c>
      <c r="E8" s="19">
        <f t="shared" si="2"/>
        <v>207047108</v>
      </c>
      <c r="F8" s="19">
        <f t="shared" si="2"/>
        <v>342573881.5</v>
      </c>
      <c r="G8" s="19">
        <f t="shared" si="2"/>
        <v>349425359.2</v>
      </c>
      <c r="H8" s="19">
        <f t="shared" si="2"/>
        <v>356413866.4</v>
      </c>
      <c r="I8" s="19">
        <f t="shared" si="2"/>
        <v>363542143.7</v>
      </c>
      <c r="J8" s="19">
        <f t="shared" si="2"/>
        <v>370812986.6</v>
      </c>
      <c r="K8" s="19">
        <f t="shared" si="2"/>
        <v>378229246.3</v>
      </c>
      <c r="L8" s="19">
        <f t="shared" si="2"/>
        <v>385793831.2</v>
      </c>
      <c r="M8" s="19">
        <f t="shared" si="2"/>
        <v>393509707.8</v>
      </c>
    </row>
    <row r="9">
      <c r="B9" s="6" t="s">
        <v>64</v>
      </c>
      <c r="C9" s="19">
        <f>C8*Assumptions!C10</f>
        <v>140325000</v>
      </c>
      <c r="D9" s="19">
        <f>D8*Assumptions!C10</f>
        <v>148664934.3</v>
      </c>
      <c r="E9" s="19">
        <f>E8*Assumptions!C10</f>
        <v>155285331</v>
      </c>
      <c r="F9" s="19">
        <f>F8*Assumptions!C10</f>
        <v>256930411.2</v>
      </c>
      <c r="G9" s="19">
        <f>G8*Assumptions!C10</f>
        <v>262069019.4</v>
      </c>
      <c r="H9" s="19">
        <f>H8*Assumptions!C10</f>
        <v>267310399.8</v>
      </c>
      <c r="I9" s="19">
        <f>I8*Assumptions!C10</f>
        <v>272656607.8</v>
      </c>
      <c r="J9" s="19">
        <f>J8*Assumptions!C10</f>
        <v>278109739.9</v>
      </c>
      <c r="K9" s="19">
        <f>K8*Assumptions!C10</f>
        <v>283671934.7</v>
      </c>
      <c r="L9" s="19">
        <f>L8*Assumptions!C10</f>
        <v>289345373.4</v>
      </c>
      <c r="M9" s="19">
        <f>M8*Assumptions!C10</f>
        <v>295132280.9</v>
      </c>
    </row>
    <row r="10">
      <c r="B10" s="12" t="s">
        <v>65</v>
      </c>
      <c r="C10" s="28" t="s">
        <v>61</v>
      </c>
      <c r="D10" s="21">
        <f t="shared" ref="D10:M10" si="3">IF(C9=0,0,(D9-C9)/C9)</f>
        <v>0.05943298969</v>
      </c>
      <c r="E10" s="21">
        <f t="shared" si="3"/>
        <v>0.04453233565</v>
      </c>
      <c r="F10" s="21">
        <f t="shared" si="3"/>
        <v>0.6545697488</v>
      </c>
      <c r="G10" s="21">
        <f t="shared" si="3"/>
        <v>0.02</v>
      </c>
      <c r="H10" s="21">
        <f t="shared" si="3"/>
        <v>0.02</v>
      </c>
      <c r="I10" s="21">
        <f t="shared" si="3"/>
        <v>0.02</v>
      </c>
      <c r="J10" s="21">
        <f t="shared" si="3"/>
        <v>0.02</v>
      </c>
      <c r="K10" s="21">
        <f t="shared" si="3"/>
        <v>0.02</v>
      </c>
      <c r="L10" s="21">
        <f t="shared" si="3"/>
        <v>0.02</v>
      </c>
      <c r="M10" s="21">
        <f t="shared" si="3"/>
        <v>0.02</v>
      </c>
    </row>
    <row r="12">
      <c r="B12" s="4" t="s">
        <v>66</v>
      </c>
      <c r="C12" s="5"/>
      <c r="D12" s="5"/>
      <c r="E12" s="5"/>
      <c r="F12" s="5"/>
      <c r="G12" s="5"/>
      <c r="H12" s="5"/>
      <c r="I12" s="5"/>
      <c r="J12" s="5"/>
      <c r="K12" s="5"/>
      <c r="L12" s="5"/>
      <c r="M12" s="5"/>
    </row>
    <row r="13">
      <c r="B13" s="12" t="s">
        <v>67</v>
      </c>
      <c r="C13" s="31">
        <f>Assumptions!C38</f>
        <v>0.1</v>
      </c>
    </row>
    <row r="14">
      <c r="B14" s="12" t="s">
        <v>68</v>
      </c>
      <c r="C14" s="28" t="s">
        <v>61</v>
      </c>
      <c r="D14" s="32">
        <f>1/(1+Assumptions!C38)^1</f>
        <v>0.9090909091</v>
      </c>
      <c r="E14" s="32">
        <f>1/(1+Assumptions!C38)^2</f>
        <v>0.826446281</v>
      </c>
      <c r="F14" s="32">
        <f>1/(1+Assumptions!C38)^3</f>
        <v>0.7513148009</v>
      </c>
      <c r="G14" s="32">
        <f>1/(1+Assumptions!C38)^4</f>
        <v>0.6830134554</v>
      </c>
      <c r="H14" s="32">
        <f>1/(1+Assumptions!C38)^5</f>
        <v>0.6209213231</v>
      </c>
      <c r="I14" s="32">
        <f>1/(1+Assumptions!C38)^6</f>
        <v>0.5644739301</v>
      </c>
      <c r="J14" s="32">
        <f>1/(1+Assumptions!C38)^7</f>
        <v>0.5131581182</v>
      </c>
      <c r="K14" s="32">
        <f>1/(1+Assumptions!C38)^8</f>
        <v>0.4665073802</v>
      </c>
      <c r="L14" s="32">
        <f>1/(1+Assumptions!C38)^9</f>
        <v>0.4240976184</v>
      </c>
      <c r="M14" s="32">
        <f>1/(1+Assumptions!C38)^10</f>
        <v>0.3855432894</v>
      </c>
    </row>
    <row r="15">
      <c r="B15" s="6" t="s">
        <v>69</v>
      </c>
      <c r="C15" s="28" t="s">
        <v>61</v>
      </c>
      <c r="D15" s="19">
        <f t="shared" ref="D15:M15" si="4">D9*D14</f>
        <v>135149940.3</v>
      </c>
      <c r="E15" s="19">
        <f t="shared" si="4"/>
        <v>128334984.3</v>
      </c>
      <c r="F15" s="19">
        <f t="shared" si="4"/>
        <v>193035620.7</v>
      </c>
      <c r="G15" s="19">
        <f t="shared" si="4"/>
        <v>178996666.5</v>
      </c>
      <c r="H15" s="19">
        <f t="shared" si="4"/>
        <v>165978727.1</v>
      </c>
      <c r="I15" s="19">
        <f t="shared" si="4"/>
        <v>153907546.9</v>
      </c>
      <c r="J15" s="19">
        <f t="shared" si="4"/>
        <v>142714270.8</v>
      </c>
      <c r="K15" s="19">
        <f t="shared" si="4"/>
        <v>132335051.1</v>
      </c>
      <c r="L15" s="19">
        <f t="shared" si="4"/>
        <v>122710683.8</v>
      </c>
      <c r="M15" s="19">
        <f t="shared" si="4"/>
        <v>113786270.4</v>
      </c>
    </row>
    <row r="17">
      <c r="B17" s="4" t="s">
        <v>70</v>
      </c>
      <c r="C17" s="5"/>
    </row>
    <row r="18">
      <c r="B18" s="6" t="s">
        <v>71</v>
      </c>
      <c r="C18" s="19">
        <f>SUM(D15:M15)</f>
        <v>1466949762</v>
      </c>
    </row>
    <row r="19">
      <c r="B19" s="6" t="s">
        <v>72</v>
      </c>
      <c r="C19" s="33">
        <f>IFERROR(M9*(1+Assumptions!C39)/(Assumptions!C38-Assumptions!C39),0)</f>
        <v>2410246961</v>
      </c>
    </row>
    <row r="20">
      <c r="B20" s="6" t="s">
        <v>73</v>
      </c>
      <c r="C20" s="19">
        <f>C19*M14</f>
        <v>929254541.5</v>
      </c>
    </row>
    <row r="21" ht="15.75" customHeight="1">
      <c r="B21" s="34" t="s">
        <v>74</v>
      </c>
      <c r="C21" s="35">
        <f>C18+C20</f>
        <v>2396204303</v>
      </c>
    </row>
    <row r="22" ht="15.75" customHeight="1">
      <c r="B22" s="6" t="s">
        <v>75</v>
      </c>
      <c r="C22" s="36">
        <f>IF(C8=0,0,C21/C8)</f>
        <v>12.80707805</v>
      </c>
    </row>
    <row r="23" ht="15.75" customHeight="1">
      <c r="B23" s="12" t="s">
        <v>76</v>
      </c>
      <c r="C23" s="21">
        <f>IF(C21=0,0,C20/C21)</f>
        <v>0.3878027179</v>
      </c>
    </row>
    <row r="24" ht="15.75" customHeight="1"/>
    <row r="25" ht="15.75" customHeight="1">
      <c r="B25" s="4" t="s">
        <v>77</v>
      </c>
      <c r="C25" s="5"/>
      <c r="D25" s="5"/>
    </row>
    <row r="26" ht="15.75" customHeight="1">
      <c r="B26" s="11" t="s">
        <v>78</v>
      </c>
      <c r="C26" s="11" t="s">
        <v>79</v>
      </c>
      <c r="D26" s="11" t="s">
        <v>80</v>
      </c>
    </row>
    <row r="27" ht="15.75" customHeight="1">
      <c r="B27" s="12" t="s">
        <v>81</v>
      </c>
      <c r="C27" s="37" t="s">
        <v>82</v>
      </c>
      <c r="D27" s="37" t="s">
        <v>83</v>
      </c>
    </row>
    <row r="28" ht="15.75" customHeight="1">
      <c r="B28" s="12" t="s">
        <v>84</v>
      </c>
      <c r="C28" s="37" t="s">
        <v>85</v>
      </c>
      <c r="D28" s="37" t="s">
        <v>86</v>
      </c>
    </row>
    <row r="29" ht="15.75" customHeight="1">
      <c r="B29" s="12" t="s">
        <v>87</v>
      </c>
      <c r="C29" s="37" t="s">
        <v>88</v>
      </c>
      <c r="D29" s="37" t="s">
        <v>89</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AD47"/>
    <pageSetUpPr/>
  </sheetPr>
  <sheetViews>
    <sheetView workbookViewId="0"/>
  </sheetViews>
  <sheetFormatPr customHeight="1" defaultColWidth="14.43" defaultRowHeight="15.0"/>
  <cols>
    <col customWidth="1" min="1" max="1" width="3.0"/>
    <col customWidth="1" min="2" max="2" width="52.71"/>
    <col customWidth="1" min="3" max="7" width="15.71"/>
    <col customWidth="1" min="8" max="26" width="8.71"/>
  </cols>
  <sheetData>
    <row r="1">
      <c r="B1" s="1" t="s">
        <v>90</v>
      </c>
    </row>
    <row r="3">
      <c r="B3" s="38" t="s">
        <v>74</v>
      </c>
    </row>
    <row r="4">
      <c r="B4" s="11" t="s">
        <v>91</v>
      </c>
      <c r="C4" s="39">
        <v>-0.05</v>
      </c>
      <c r="D4" s="39">
        <v>-0.03</v>
      </c>
      <c r="E4" s="39">
        <v>-0.02</v>
      </c>
      <c r="F4" s="39">
        <v>-0.01</v>
      </c>
      <c r="G4" s="39">
        <v>0.0</v>
      </c>
    </row>
    <row r="5">
      <c r="B5" s="40">
        <v>0.08</v>
      </c>
      <c r="C5" s="41">
        <f>IFERROR('DCF Model'!C18+('DCF Model'!M9*(1+C4)/(B5-C4))/(1+B5)^10,"")</f>
        <v>2465935786</v>
      </c>
      <c r="D5" s="41">
        <f>IFERROR('DCF Model'!C18+('DCF Model'!M9*(1+D4)/(B5-D4))/(1+B5)^10,"")</f>
        <v>2672424763</v>
      </c>
      <c r="E5" s="41">
        <f>IFERROR('DCF Model'!C18+('DCF Model'!M9*(1+E4)/(B5-E4))/(1+B5)^10,"")</f>
        <v>2806642598</v>
      </c>
      <c r="F5" s="41">
        <f>IFERROR('DCF Model'!C18+('DCF Model'!M9*(1+F4)/(B5-F4))/(1+B5)^10,"")</f>
        <v>2970686619</v>
      </c>
      <c r="G5" s="41">
        <f>IFERROR('DCF Model'!C18+('DCF Model'!M9*(1+G4)/(B5-G4))/(1+B5)^10,"")</f>
        <v>3175741645</v>
      </c>
    </row>
    <row r="6">
      <c r="B6" s="40">
        <v>0.1</v>
      </c>
      <c r="C6" s="41">
        <f>IFERROR('DCF Model'!C18+('DCF Model'!M9*(1+C4)/(B6-C4))/(1+B6)^10,"")</f>
        <v>2187596141</v>
      </c>
      <c r="D6" s="41">
        <f>IFERROR('DCF Model'!C18+('DCF Model'!M9*(1+D4)/(B6-D4))/(1+B6)^10,"")</f>
        <v>2315970395</v>
      </c>
      <c r="E6" s="41">
        <f>IFERROR('DCF Model'!C18+('DCF Model'!M9*(1+E4)/(B6-E4))/(1+B6)^10,"")</f>
        <v>2396204303</v>
      </c>
      <c r="F6" s="41">
        <f>IFERROR('DCF Model'!C18+('DCF Model'!M9*(1+F4)/(B6-F4))/(1+B6)^10,"")</f>
        <v>2491026195</v>
      </c>
      <c r="G6" s="41">
        <f>IFERROR('DCF Model'!C18+('DCF Model'!M9*(1+G4)/(B6-G4))/(1+B6)^10,"")</f>
        <v>2604812466</v>
      </c>
    </row>
    <row r="7">
      <c r="B7" s="40">
        <v>0.12</v>
      </c>
      <c r="C7" s="41">
        <f>IFERROR('DCF Model'!C18+('DCF Model'!M9*(1+C4)/(B7-C4))/(1+B7)^10,"")</f>
        <v>1997970120</v>
      </c>
      <c r="D7" s="41">
        <f>IFERROR('DCF Model'!C18+('DCF Model'!M9*(1+D4)/(B7-D4))/(1+B7)^10,"")</f>
        <v>2081442794</v>
      </c>
      <c r="E7" s="19">
        <f>IFERROR('DCF Model'!C18+('DCF Model'!M9*(1+E4)/(B7-E4))/(1+B7)^10,"")</f>
        <v>2132122632</v>
      </c>
      <c r="F7" s="41">
        <f>IFERROR('DCF Model'!C18+('DCF Model'!M9*(1+F4)/(B7-F4))/(1+B7)^10,"")</f>
        <v>2190599368</v>
      </c>
      <c r="G7" s="41">
        <f>IFERROR('DCF Model'!C18+('DCF Model'!M9*(1+G4)/(B7-G4))/(1+B7)^10,"")</f>
        <v>2258822226</v>
      </c>
    </row>
    <row r="8">
      <c r="B8" s="40">
        <v>0.14</v>
      </c>
      <c r="C8" s="41">
        <f>IFERROR('DCF Model'!C18+('DCF Model'!M9*(1+C4)/(B8-C4))/(1+B8)^10,"")</f>
        <v>1865000291</v>
      </c>
      <c r="D8" s="41">
        <f>IFERROR('DCF Model'!C18+('DCF Model'!M9*(1+D4)/(B8-D4))/(1+B8)^10,"")</f>
        <v>1921195659</v>
      </c>
      <c r="E8" s="41">
        <f>IFERROR('DCF Model'!C18+('DCF Model'!M9*(1+E4)/(B8-E4))/(1+B8)^10,"")</f>
        <v>1954561660</v>
      </c>
      <c r="F8" s="41">
        <f>IFERROR('DCF Model'!C18+('DCF Model'!M9*(1+F4)/(B8-F4))/(1+B8)^10,"")</f>
        <v>1992376460</v>
      </c>
      <c r="G8" s="41">
        <f>IFERROR('DCF Model'!C18+('DCF Model'!M9*(1+G4)/(B8-G4))/(1+B8)^10,"")</f>
        <v>2035593374</v>
      </c>
    </row>
    <row r="9">
      <c r="B9" s="40">
        <v>0.16</v>
      </c>
      <c r="C9" s="41">
        <f>IFERROR('DCF Model'!C18+('DCF Model'!M9*(1+C4)/(B9-C4))/(1+B9)^10,"")</f>
        <v>1769600078</v>
      </c>
      <c r="D9" s="41">
        <f>IFERROR('DCF Model'!C18+('DCF Model'!M9*(1+D4)/(B9-D4))/(1+B9)^10,"")</f>
        <v>1808500285</v>
      </c>
      <c r="E9" s="41">
        <f>IFERROR('DCF Model'!C18+('DCF Model'!M9*(1+E4)/(B9-E4))/(1+B9)^10,"")</f>
        <v>1831192073</v>
      </c>
      <c r="F9" s="41">
        <f>IFERROR('DCF Model'!C18+('DCF Model'!M9*(1+F4)/(B9-F4))/(1+B9)^10,"")</f>
        <v>1856553482</v>
      </c>
      <c r="G9" s="41">
        <f>IFERROR('DCF Model'!C18+('DCF Model'!M9*(1+G4)/(B9-G4))/(1+B9)^10,"")</f>
        <v>1885085068</v>
      </c>
    </row>
    <row r="12">
      <c r="B12" s="38" t="s">
        <v>92</v>
      </c>
    </row>
    <row r="13">
      <c r="B13" s="11" t="s">
        <v>93</v>
      </c>
      <c r="C13" s="39">
        <v>0.0</v>
      </c>
      <c r="D13" s="39">
        <v>0.01</v>
      </c>
      <c r="E13" s="39">
        <v>0.02</v>
      </c>
      <c r="F13" s="39">
        <v>0.03</v>
      </c>
      <c r="G13" s="39">
        <v>0.04</v>
      </c>
    </row>
    <row r="14">
      <c r="B14" s="40">
        <v>0.0</v>
      </c>
      <c r="C14" s="42">
        <f>IFERROR(((1+B14)^1*(1+C13)^1/(1+Assumptions!C38)^1)+((1+B14)^2*(1+C13)^2/(1+Assumptions!C38)^2)+((1+B14)^3*(1+C13)^3/(1+Assumptions!C38)^3)+((1+B14)^4*(1+C13)^4/(1+Assumptions!C38)^4)+((1+B14)^5*(1+C13)^5/(1+Assumptions!C38)^5)+((1+B14)^6*(1+C13)^6/(1+Assumptions!C38)^6)+((1+B14)^7*(1+C13)^7/(1+Assumptions!C38)^7)+((1+B14)^8*(1+C13)^8/(1+Assumptions!C38)^8)+((1+B14)^9*(1+C13)^9/(1+Assumptions!C38)^9)+((1+B14)^10*(1+C13)^10/(1+Assumptions!C38)^10)+((1+B14)^10*(1+C13)^10*(1+Assumptions!C39)/(Assumptions!C38-Assumptions!C39))/(1+Assumptions!C38)^10,"")</f>
        <v>9.293170636</v>
      </c>
      <c r="D14" s="42">
        <f>IFERROR(((1+B14)^1*(1+D13)^1/(1+Assumptions!C38)^1)+((1+B14)^2*(1+D13)^2/(1+Assumptions!C38)^2)+((1+B14)^3*(1+D13)^3/(1+Assumptions!C38)^3)+((1+B14)^4*(1+D13)^4/(1+Assumptions!C38)^4)+((1+B14)^5*(1+D13)^5/(1+Assumptions!C38)^5)+((1+B14)^6*(1+D13)^6/(1+Assumptions!C38)^6)+((1+B14)^7*(1+D13)^7/(1+Assumptions!C38)^7)+((1+B14)^8*(1+D13)^8/(1+Assumptions!C38)^8)+((1+B14)^9*(1+D13)^9/(1+Assumptions!C38)^9)+((1+B14)^10*(1+D13)^10/(1+Assumptions!C38)^10)+((1+B14)^10*(1+D13)^10*(1+Assumptions!C39)/(Assumptions!C38-Assumptions!C39))/(1+Assumptions!C38)^10,"")</f>
        <v>9.920923298</v>
      </c>
      <c r="E14" s="42">
        <f>IFERROR(((1+B14)^1*(1+E13)^1/(1+Assumptions!C38)^1)+((1+B14)^2*(1+E13)^2/(1+Assumptions!C38)^2)+((1+B14)^3*(1+E13)^3/(1+Assumptions!C38)^3)+((1+B14)^4*(1+E13)^4/(1+Assumptions!C38)^4)+((1+B14)^5*(1+E13)^5/(1+Assumptions!C38)^5)+((1+B14)^6*(1+E13)^6/(1+Assumptions!C38)^6)+((1+B14)^7*(1+E13)^7/(1+Assumptions!C38)^7)+((1+B14)^8*(1+E13)^8/(1+Assumptions!C38)^8)+((1+B14)^9*(1+E13)^9/(1+Assumptions!C38)^9)+((1+B14)^10*(1+E13)^10/(1+Assumptions!C38)^10)+((1+B14)^10*(1+E13)^10*(1+Assumptions!C39)/(Assumptions!C38-Assumptions!C39))/(1+Assumptions!C38)^10,"")</f>
        <v>10.59594737</v>
      </c>
      <c r="F14" s="42">
        <f>IFERROR(((1+B14)^1*(1+F13)^1/(1+Assumptions!C38)^1)+((1+B14)^2*(1+F13)^2/(1+Assumptions!C38)^2)+((1+B14)^3*(1+F13)^3/(1+Assumptions!C38)^3)+((1+B14)^4*(1+F13)^4/(1+Assumptions!C38)^4)+((1+B14)^5*(1+F13)^5/(1+Assumptions!C38)^5)+((1+B14)^6*(1+F13)^6/(1+Assumptions!C38)^6)+((1+B14)^7*(1+F13)^7/(1+Assumptions!C38)^7)+((1+B14)^8*(1+F13)^8/(1+Assumptions!C38)^8)+((1+B14)^9*(1+F13)^9/(1+Assumptions!C38)^9)+((1+B14)^10*(1+F13)^10/(1+Assumptions!C38)^10)+((1+B14)^10*(1+F13)^10*(1+Assumptions!C39)/(Assumptions!C38-Assumptions!C39))/(1+Assumptions!C38)^10,"")</f>
        <v>11.32171586</v>
      </c>
      <c r="G14" s="42">
        <f>IFERROR(((1+B14)^1*(1+G13)^1/(1+Assumptions!C38)^1)+((1+B14)^2*(1+G13)^2/(1+Assumptions!C38)^2)+((1+B14)^3*(1+G13)^3/(1+Assumptions!C38)^3)+((1+B14)^4*(1+G13)^4/(1+Assumptions!C38)^4)+((1+B14)^5*(1+G13)^5/(1+Assumptions!C38)^5)+((1+B14)^6*(1+G13)^6/(1+Assumptions!C38)^6)+((1+B14)^7*(1+G13)^7/(1+Assumptions!C38)^7)+((1+B14)^8*(1+G13)^8/(1+Assumptions!C38)^8)+((1+B14)^9*(1+G13)^9/(1+Assumptions!C38)^9)+((1+B14)^10*(1+G13)^10/(1+Assumptions!C38)^10)+((1+B14)^10*(1+G13)^10*(1+Assumptions!C39)/(Assumptions!C38-Assumptions!C39))/(1+Assumptions!C38)^10,"")</f>
        <v>12.1019327</v>
      </c>
    </row>
    <row r="15">
      <c r="B15" s="40">
        <v>-0.03</v>
      </c>
      <c r="C15" s="42">
        <f>IFERROR(((1+B15)^1*(1+C13)^1/(1+Assumptions!C38)^1)+((1+B15)^2*(1+C13)^2/(1+Assumptions!C38)^2)+((1+B15)^3*(1+C13)^3/(1+Assumptions!C38)^3)+((1+B15)^4*(1+C13)^4/(1+Assumptions!C38)^4)+((1+B15)^5*(1+C13)^5/(1+Assumptions!C38)^5)+((1+B15)^6*(1+C13)^6/(1+Assumptions!C38)^6)+((1+B15)^7*(1+C13)^7/(1+Assumptions!C38)^7)+((1+B15)^8*(1+C13)^8/(1+Assumptions!C38)^8)+((1+B15)^9*(1+C13)^9/(1+Assumptions!C38)^9)+((1+B15)^10*(1+C13)^10/(1+Assumptions!C38)^10)+((1+B15)^10*(1+C13)^10*(1+Assumptions!C39)/(Assumptions!C38-Assumptions!C39))/(1+Assumptions!C38)^10,"")</f>
        <v>7.662012703</v>
      </c>
      <c r="D15" s="42">
        <f>IFERROR(((1+B15)^1*(1+D13)^1/(1+Assumptions!C38)^1)+((1+B15)^2*(1+D13)^2/(1+Assumptions!C38)^2)+((1+B15)^3*(1+D13)^3/(1+Assumptions!C38)^3)+((1+B15)^4*(1+D13)^4/(1+Assumptions!C38)^4)+((1+B15)^5*(1+D13)^5/(1+Assumptions!C38)^5)+((1+B15)^6*(1+D13)^6/(1+Assumptions!C38)^6)+((1+B15)^7*(1+D13)^7/(1+Assumptions!C38)^7)+((1+B15)^8*(1+D13)^8/(1+Assumptions!C38)^8)+((1+B15)^9*(1+D13)^9/(1+Assumptions!C38)^9)+((1+B15)^10*(1+D13)^10/(1+Assumptions!C38)^10)+((1+B15)^10*(1+D13)^10*(1+Assumptions!C39)/(Assumptions!C38-Assumptions!C39))/(1+Assumptions!C38)^10,"")</f>
        <v>8.15098627</v>
      </c>
      <c r="E15" s="42">
        <f>IFERROR(((1+B15)^1*(1+E13)^1/(1+Assumptions!C38)^1)+((1+B15)^2*(1+E13)^2/(1+Assumptions!C38)^2)+((1+B15)^3*(1+E13)^3/(1+Assumptions!C38)^3)+((1+B15)^4*(1+E13)^4/(1+Assumptions!C38)^4)+((1+B15)^5*(1+E13)^5/(1+Assumptions!C38)^5)+((1+B15)^6*(1+E13)^6/(1+Assumptions!C38)^6)+((1+B15)^7*(1+E13)^7/(1+Assumptions!C38)^7)+((1+B15)^8*(1+E13)^8/(1+Assumptions!C38)^8)+((1+B15)^9*(1+E13)^9/(1+Assumptions!C38)^9)+((1+B15)^10*(1+E13)^10/(1+Assumptions!C38)^10)+((1+B15)^10*(1+E13)^10*(1+Assumptions!C39)/(Assumptions!C38-Assumptions!C39))/(1+Assumptions!C38)^10,"")</f>
        <v>8.675742612</v>
      </c>
      <c r="F15" s="42">
        <f>IFERROR(((1+B15)^1*(1+F13)^1/(1+Assumptions!C38)^1)+((1+B15)^2*(1+F13)^2/(1+Assumptions!C38)^2)+((1+B15)^3*(1+F13)^3/(1+Assumptions!C38)^3)+((1+B15)^4*(1+F13)^4/(1+Assumptions!C38)^4)+((1+B15)^5*(1+F13)^5/(1+Assumptions!C38)^5)+((1+B15)^6*(1+F13)^6/(1+Assumptions!C38)^6)+((1+B15)^7*(1+F13)^7/(1+Assumptions!C38)^7)+((1+B15)^8*(1+F13)^8/(1+Assumptions!C38)^8)+((1+B15)^9*(1+F13)^9/(1+Assumptions!C38)^9)+((1+B15)^10*(1+F13)^10/(1+Assumptions!C38)^10)+((1+B15)^10*(1+F13)^10*(1+Assumptions!C39)/(Assumptions!C38-Assumptions!C39))/(1+Assumptions!C38)^10,"")</f>
        <v>9.238878702</v>
      </c>
      <c r="G15" s="42">
        <f>IFERROR(((1+B15)^1*(1+G13)^1/(1+Assumptions!C38)^1)+((1+B15)^2*(1+G13)^2/(1+Assumptions!C38)^2)+((1+B15)^3*(1+G13)^3/(1+Assumptions!C38)^3)+((1+B15)^4*(1+G13)^4/(1+Assumptions!C38)^4)+((1+B15)^5*(1+G13)^5/(1+Assumptions!C38)^5)+((1+B15)^6*(1+G13)^6/(1+Assumptions!C38)^6)+((1+B15)^7*(1+G13)^7/(1+Assumptions!C38)^7)+((1+B15)^8*(1+G13)^8/(1+Assumptions!C38)^8)+((1+B15)^9*(1+G13)^9/(1+Assumptions!C38)^9)+((1+B15)^10*(1+G13)^10/(1+Assumptions!C38)^10)+((1+B15)^10*(1+G13)^10*(1+Assumptions!C39)/(Assumptions!C38-Assumptions!C39))/(1+Assumptions!C38)^10,"")</f>
        <v>9.843163179</v>
      </c>
    </row>
    <row r="16">
      <c r="B16" s="40">
        <v>-0.05</v>
      </c>
      <c r="C16" s="42">
        <f>IFERROR(((1+B16)^1*(1+C13)^1/(1+Assumptions!C38)^1)+((1+B16)^2*(1+C13)^2/(1+Assumptions!C38)^2)+((1+B16)^3*(1+C13)^3/(1+Assumptions!C38)^3)+((1+B16)^4*(1+C13)^4/(1+Assumptions!C38)^4)+((1+B16)^5*(1+C13)^5/(1+Assumptions!C38)^5)+((1+B16)^6*(1+C13)^6/(1+Assumptions!C38)^6)+((1+B16)^7*(1+C13)^7/(1+Assumptions!C38)^7)+((1+B16)^8*(1+C13)^8/(1+Assumptions!C38)^8)+((1+B16)^9*(1+C13)^9/(1+Assumptions!C38)^9)+((1+B16)^10*(1+C13)^10/(1+Assumptions!C38)^10)+((1+B16)^10*(1+C13)^10*(1+Assumptions!C39)/(Assumptions!C38-Assumptions!C39))/(1+Assumptions!C38)^10,"")</f>
        <v>6.756538183</v>
      </c>
      <c r="D16" s="42">
        <f>IFERROR(((1+B16)^1*(1+D13)^1/(1+Assumptions!C38)^1)+((1+B16)^2*(1+D13)^2/(1+Assumptions!C38)^2)+((1+B16)^3*(1+D13)^3/(1+Assumptions!C38)^3)+((1+B16)^4*(1+D13)^4/(1+Assumptions!C38)^4)+((1+B16)^5*(1+D13)^5/(1+Assumptions!C38)^5)+((1+B16)^6*(1+D13)^6/(1+Assumptions!C38)^6)+((1+B16)^7*(1+D13)^7/(1+Assumptions!C38)^7)+((1+B16)^8*(1+D13)^8/(1+Assumptions!C38)^8)+((1+B16)^9*(1+D13)^9/(1+Assumptions!C38)^9)+((1+B16)^10*(1+D13)^10/(1+Assumptions!C38)^10)+((1+B16)^10*(1+D13)^10*(1+Assumptions!C39)/(Assumptions!C38-Assumptions!C39))/(1+Assumptions!C38)^10,"")</f>
        <v>7.170226674</v>
      </c>
      <c r="E16" s="36">
        <f>IFERROR(((1+B16)^1*(1+E13)^1/(1+Assumptions!C38)^1)+((1+B16)^2*(1+E13)^2/(1+Assumptions!C38)^2)+((1+B16)^3*(1+E13)^3/(1+Assumptions!C38)^3)+((1+B16)^4*(1+E13)^4/(1+Assumptions!C38)^4)+((1+B16)^5*(1+E13)^5/(1+Assumptions!C38)^5)+((1+B16)^6*(1+E13)^6/(1+Assumptions!C38)^6)+((1+B16)^7*(1+E13)^7/(1+Assumptions!C38)^7)+((1+B16)^8*(1+E13)^8/(1+Assumptions!C38)^8)+((1+B16)^9*(1+E13)^9/(1+Assumptions!C38)^9)+((1+B16)^10*(1+E13)^10/(1+Assumptions!C38)^10)+((1+B16)^10*(1+E13)^10*(1+Assumptions!C39)/(Assumptions!C38-Assumptions!C39))/(1+Assumptions!C38)^10,"")</f>
        <v>7.613539231</v>
      </c>
      <c r="F16" s="42">
        <f>IFERROR(((1+B16)^1*(1+F13)^1/(1+Assumptions!C38)^1)+((1+B16)^2*(1+F13)^2/(1+Assumptions!C38)^2)+((1+B16)^3*(1+F13)^3/(1+Assumptions!C38)^3)+((1+B16)^4*(1+F13)^4/(1+Assumptions!C38)^4)+((1+B16)^5*(1+F13)^5/(1+Assumptions!C38)^5)+((1+B16)^6*(1+F13)^6/(1+Assumptions!C38)^6)+((1+B16)^7*(1+F13)^7/(1+Assumptions!C38)^7)+((1+B16)^8*(1+F13)^8/(1+Assumptions!C38)^8)+((1+B16)^9*(1+F13)^9/(1+Assumptions!C38)^9)+((1+B16)^10*(1+F13)^10/(1+Assumptions!C38)^10)+((1+B16)^10*(1+F13)^10*(1+Assumptions!C39)/(Assumptions!C38-Assumptions!C39))/(1+Assumptions!C38)^10,"")</f>
        <v>8.088606086</v>
      </c>
      <c r="G16" s="42">
        <f>IFERROR(((1+B16)^1*(1+G13)^1/(1+Assumptions!C38)^1)+((1+B16)^2*(1+G13)^2/(1+Assumptions!C38)^2)+((1+B16)^3*(1+G13)^3/(1+Assumptions!C38)^3)+((1+B16)^4*(1+G13)^4/(1+Assumptions!C38)^4)+((1+B16)^5*(1+G13)^5/(1+Assumptions!C38)^5)+((1+B16)^6*(1+G13)^6/(1+Assumptions!C38)^6)+((1+B16)^7*(1+G13)^7/(1+Assumptions!C38)^7)+((1+B16)^8*(1+G13)^8/(1+Assumptions!C38)^8)+((1+B16)^9*(1+G13)^9/(1+Assumptions!C38)^9)+((1+B16)^10*(1+G13)^10/(1+Assumptions!C38)^10)+((1+B16)^10*(1+G13)^10*(1+Assumptions!C39)/(Assumptions!C38-Assumptions!C39))/(1+Assumptions!C38)^10,"")</f>
        <v>8.597697657</v>
      </c>
    </row>
    <row r="17">
      <c r="B17" s="40">
        <v>-0.08</v>
      </c>
      <c r="C17" s="42">
        <f>IFERROR(((1+B17)^1*(1+C13)^1/(1+Assumptions!C38)^1)+((1+B17)^2*(1+C13)^2/(1+Assumptions!C38)^2)+((1+B17)^3*(1+C13)^3/(1+Assumptions!C38)^3)+((1+B17)^4*(1+C13)^4/(1+Assumptions!C38)^4)+((1+B17)^5*(1+C13)^5/(1+Assumptions!C38)^5)+((1+B17)^6*(1+C13)^6/(1+Assumptions!C38)^6)+((1+B17)^7*(1+C13)^7/(1+Assumptions!C38)^7)+((1+B17)^8*(1+C13)^8/(1+Assumptions!C38)^8)+((1+B17)^9*(1+C13)^9/(1+Assumptions!C38)^9)+((1+B17)^10*(1+C13)^10/(1+Assumptions!C38)^10)+((1+B17)^10*(1+C13)^10*(1+Assumptions!C39)/(Assumptions!C38-Assumptions!C39))/(1+Assumptions!C38)^10,"")</f>
        <v>5.622841969</v>
      </c>
      <c r="D17" s="42">
        <f>IFERROR(((1+B17)^1*(1+D13)^1/(1+Assumptions!C38)^1)+((1+B17)^2*(1+D13)^2/(1+Assumptions!C38)^2)+((1+B17)^3*(1+D13)^3/(1+Assumptions!C38)^3)+((1+B17)^4*(1+D13)^4/(1+Assumptions!C38)^4)+((1+B17)^5*(1+D13)^5/(1+Assumptions!C38)^5)+((1+B17)^6*(1+D13)^6/(1+Assumptions!C38)^6)+((1+B17)^7*(1+D13)^7/(1+Assumptions!C38)^7)+((1+B17)^8*(1+D13)^8/(1+Assumptions!C38)^8)+((1+B17)^9*(1+D13)^9/(1+Assumptions!C38)^9)+((1+B17)^10*(1+D13)^10/(1+Assumptions!C38)^10)+((1+B17)^10*(1+D13)^10*(1+Assumptions!C39)/(Assumptions!C38-Assumptions!C39))/(1+Assumptions!C38)^10,"")</f>
        <v>5.944654744</v>
      </c>
      <c r="E17" s="42">
        <f>IFERROR(((1+B17)^1*(1+E13)^1/(1+Assumptions!C38)^1)+((1+B17)^2*(1+E13)^2/(1+Assumptions!C38)^2)+((1+B17)^3*(1+E13)^3/(1+Assumptions!C38)^3)+((1+B17)^4*(1+E13)^4/(1+Assumptions!C38)^4)+((1+B17)^5*(1+E13)^5/(1+Assumptions!C38)^5)+((1+B17)^6*(1+E13)^6/(1+Assumptions!C38)^6)+((1+B17)^7*(1+E13)^7/(1+Assumptions!C38)^7)+((1+B17)^8*(1+E13)^8/(1+Assumptions!C38)^8)+((1+B17)^9*(1+E13)^9/(1+Assumptions!C38)^9)+((1+B17)^10*(1+E13)^10/(1+Assumptions!C38)^10)+((1+B17)^10*(1+E13)^10*(1+Assumptions!C39)/(Assumptions!C38-Assumptions!C39))/(1+Assumptions!C38)^10,"")</f>
        <v>6.288674958</v>
      </c>
      <c r="F17" s="42">
        <f>IFERROR(((1+B17)^1*(1+F13)^1/(1+Assumptions!C38)^1)+((1+B17)^2*(1+F13)^2/(1+Assumptions!C38)^2)+((1+B17)^3*(1+F13)^3/(1+Assumptions!C38)^3)+((1+B17)^4*(1+F13)^4/(1+Assumptions!C38)^4)+((1+B17)^5*(1+F13)^5/(1+Assumptions!C38)^5)+((1+B17)^6*(1+F13)^6/(1+Assumptions!C38)^6)+((1+B17)^7*(1+F13)^7/(1+Assumptions!C38)^7)+((1+B17)^8*(1+F13)^8/(1+Assumptions!C38)^8)+((1+B17)^9*(1+F13)^9/(1+Assumptions!C38)^9)+((1+B17)^10*(1+F13)^10/(1+Assumptions!C38)^10)+((1+B17)^10*(1+F13)^10*(1+Assumptions!C39)/(Assumptions!C38-Assumptions!C39))/(1+Assumptions!C38)^10,"")</f>
        <v>6.656474557</v>
      </c>
      <c r="G17" s="42">
        <f>IFERROR(((1+B17)^1*(1+G13)^1/(1+Assumptions!C38)^1)+((1+B17)^2*(1+G13)^2/(1+Assumptions!C38)^2)+((1+B17)^3*(1+G13)^3/(1+Assumptions!C38)^3)+((1+B17)^4*(1+G13)^4/(1+Assumptions!C38)^4)+((1+B17)^5*(1+G13)^5/(1+Assumptions!C38)^5)+((1+B17)^6*(1+G13)^6/(1+Assumptions!C38)^6)+((1+B17)^7*(1+G13)^7/(1+Assumptions!C38)^7)+((1+B17)^8*(1+G13)^8/(1+Assumptions!C38)^8)+((1+B17)^9*(1+G13)^9/(1+Assumptions!C38)^9)+((1+B17)^10*(1+G13)^10/(1+Assumptions!C38)^10)+((1+B17)^10*(1+G13)^10*(1+Assumptions!C39)/(Assumptions!C38-Assumptions!C39))/(1+Assumptions!C38)^10,"")</f>
        <v>7.049728162</v>
      </c>
    </row>
    <row r="18">
      <c r="B18" s="40">
        <v>-0.1</v>
      </c>
      <c r="C18" s="42">
        <f>IFERROR(((1+B18)^1*(1+C13)^1/(1+Assumptions!C38)^1)+((1+B18)^2*(1+C13)^2/(1+Assumptions!C38)^2)+((1+B18)^3*(1+C13)^3/(1+Assumptions!C38)^3)+((1+B18)^4*(1+C13)^4/(1+Assumptions!C38)^4)+((1+B18)^5*(1+C13)^5/(1+Assumptions!C38)^5)+((1+B18)^6*(1+C13)^6/(1+Assumptions!C38)^6)+((1+B18)^7*(1+C13)^7/(1+Assumptions!C38)^7)+((1+B18)^8*(1+C13)^8/(1+Assumptions!C38)^8)+((1+B18)^9*(1+C13)^9/(1+Assumptions!C38)^9)+((1+B18)^10*(1+C13)^10/(1+Assumptions!C38)^10)+((1+B18)^10*(1+C13)^10*(1+Assumptions!C39)/(Assumptions!C38-Assumptions!C39))/(1+Assumptions!C38)^10,"")</f>
        <v>4.99291232</v>
      </c>
      <c r="D18" s="42">
        <f>IFERROR(((1+B18)^1*(1+D13)^1/(1+Assumptions!C38)^1)+((1+B18)^2*(1+D13)^2/(1+Assumptions!C38)^2)+((1+B18)^3*(1+D13)^3/(1+Assumptions!C38)^3)+((1+B18)^4*(1+D13)^4/(1+Assumptions!C38)^4)+((1+B18)^5*(1+D13)^5/(1+Assumptions!C38)^5)+((1+B18)^6*(1+D13)^6/(1+Assumptions!C38)^6)+((1+B18)^7*(1+D13)^7/(1+Assumptions!C38)^7)+((1+B18)^8*(1+D13)^8/(1+Assumptions!C38)^8)+((1+B18)^9*(1+D13)^9/(1+Assumptions!C38)^9)+((1+B18)^10*(1+D13)^10/(1+Assumptions!C38)^10)+((1+B18)^10*(1+D13)^10*(1+Assumptions!C39)/(Assumptions!C38-Assumptions!C39))/(1+Assumptions!C38)^10,"")</f>
        <v>5.265159839</v>
      </c>
      <c r="E18" s="42">
        <f>IFERROR(((1+B18)^1*(1+E13)^1/(1+Assumptions!C38)^1)+((1+B18)^2*(1+E13)^2/(1+Assumptions!C38)^2)+((1+B18)^3*(1+E13)^3/(1+Assumptions!C38)^3)+((1+B18)^4*(1+E13)^4/(1+Assumptions!C38)^4)+((1+B18)^5*(1+E13)^5/(1+Assumptions!C38)^5)+((1+B18)^6*(1+E13)^6/(1+Assumptions!C38)^6)+((1+B18)^7*(1+E13)^7/(1+Assumptions!C38)^7)+((1+B18)^8*(1+E13)^8/(1+Assumptions!C38)^8)+((1+B18)^9*(1+E13)^9/(1+Assumptions!C38)^9)+((1+B18)^10*(1+E13)^10/(1+Assumptions!C38)^10)+((1+B18)^10*(1+E13)^10*(1+Assumptions!C39)/(Assumptions!C38-Assumptions!C39))/(1+Assumptions!C38)^10,"")</f>
        <v>5.555675231</v>
      </c>
      <c r="F18" s="42">
        <f>IFERROR(((1+B18)^1*(1+F13)^1/(1+Assumptions!C38)^1)+((1+B18)^2*(1+F13)^2/(1+Assumptions!C38)^2)+((1+B18)^3*(1+F13)^3/(1+Assumptions!C38)^3)+((1+B18)^4*(1+F13)^4/(1+Assumptions!C38)^4)+((1+B18)^5*(1+F13)^5/(1+Assumptions!C38)^5)+((1+B18)^6*(1+F13)^6/(1+Assumptions!C38)^6)+((1+B18)^7*(1+F13)^7/(1+Assumptions!C38)^7)+((1+B18)^8*(1+F13)^8/(1+Assumptions!C38)^8)+((1+B18)^9*(1+F13)^9/(1+Assumptions!C38)^9)+((1+B18)^10*(1+F13)^10/(1+Assumptions!C38)^10)+((1+B18)^10*(1+F13)^10*(1+Assumptions!C39)/(Assumptions!C38-Assumptions!C39))/(1+Assumptions!C38)^10,"")</f>
        <v>5.865736212</v>
      </c>
      <c r="G18" s="42">
        <f>IFERROR(((1+B18)^1*(1+G13)^1/(1+Assumptions!C38)^1)+((1+B18)^2*(1+G13)^2/(1+Assumptions!C38)^2)+((1+B18)^3*(1+G13)^3/(1+Assumptions!C38)^3)+((1+B18)^4*(1+G13)^4/(1+Assumptions!C38)^4)+((1+B18)^5*(1+G13)^5/(1+Assumptions!C38)^5)+((1+B18)^6*(1+G13)^6/(1+Assumptions!C38)^6)+((1+B18)^7*(1+G13)^7/(1+Assumptions!C38)^7)+((1+B18)^8*(1+G13)^8/(1+Assumptions!C38)^8)+((1+B18)^9*(1+G13)^9/(1+Assumptions!C38)^9)+((1+B18)^10*(1+G13)^10/(1+Assumptions!C38)^10)+((1+B18)^10*(1+G13)^10*(1+Assumptions!C39)/(Assumptions!C38-Assumptions!C39))/(1+Assumptions!C38)^10,"")</f>
        <v>6.196703481</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workbookViewId="0"/>
  </sheetViews>
  <sheetFormatPr customHeight="1" defaultColWidth="14.43" defaultRowHeight="15.0"/>
  <cols>
    <col customWidth="1" min="1" max="1" width="3.0"/>
    <col customWidth="1" min="2" max="2" width="130.86"/>
    <col customWidth="1" min="3" max="26" width="8.71"/>
  </cols>
  <sheetData>
    <row r="1">
      <c r="B1" s="1" t="s">
        <v>94</v>
      </c>
    </row>
    <row r="3">
      <c r="B3" s="6" t="s">
        <v>95</v>
      </c>
    </row>
    <row r="4">
      <c r="B4" s="43" t="s">
        <v>96</v>
      </c>
    </row>
    <row r="6">
      <c r="B6" s="6" t="s">
        <v>97</v>
      </c>
    </row>
    <row r="7">
      <c r="B7" s="43" t="s">
        <v>98</v>
      </c>
    </row>
    <row r="8" ht="39.75" customHeight="1">
      <c r="B8" s="44"/>
    </row>
    <row r="9">
      <c r="B9" s="6" t="s">
        <v>99</v>
      </c>
    </row>
    <row r="10">
      <c r="B10" s="43" t="s">
        <v>100</v>
      </c>
    </row>
    <row r="11" ht="39.75" customHeight="1"/>
    <row r="12">
      <c r="B12" s="6" t="s">
        <v>101</v>
      </c>
    </row>
    <row r="13">
      <c r="B13" s="43" t="s">
        <v>102</v>
      </c>
    </row>
    <row r="14" ht="39.75" customHeight="1"/>
    <row r="15">
      <c r="B15" s="6" t="s">
        <v>103</v>
      </c>
    </row>
    <row r="16">
      <c r="B16" s="43" t="s">
        <v>104</v>
      </c>
    </row>
    <row r="17" ht="39.75" customHeight="1"/>
    <row r="18">
      <c r="B18" s="6" t="s">
        <v>105</v>
      </c>
    </row>
    <row r="19">
      <c r="B19" s="43" t="s">
        <v>106</v>
      </c>
    </row>
    <row r="20" ht="39.75" customHeight="1"/>
    <row r="21" ht="15.75" customHeight="1">
      <c r="B21" s="6" t="s">
        <v>107</v>
      </c>
    </row>
    <row r="22" ht="15.75" customHeight="1">
      <c r="B22" s="43" t="s">
        <v>108</v>
      </c>
    </row>
    <row r="23" ht="39.75" customHeight="1"/>
    <row r="24" ht="15.75" customHeight="1">
      <c r="B24" s="38" t="s">
        <v>109</v>
      </c>
    </row>
    <row r="25" ht="15.75" customHeight="1">
      <c r="B25" s="43" t="s">
        <v>110</v>
      </c>
    </row>
    <row r="26" ht="39.75" customHeight="1"/>
    <row r="27" ht="15.75" customHeight="1">
      <c r="B27" s="38" t="s">
        <v>111</v>
      </c>
    </row>
    <row r="28" ht="15.75" customHeight="1">
      <c r="B28" s="43" t="s">
        <v>112</v>
      </c>
    </row>
    <row r="29" ht="39.75" customHeight="1"/>
    <row r="30" ht="15.75" customHeight="1"/>
    <row r="31" ht="15.75" customHeight="1"/>
    <row r="32" ht="39.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7030A0"/>
    <pageSetUpPr/>
  </sheetPr>
  <sheetViews>
    <sheetView workbookViewId="0"/>
  </sheetViews>
  <sheetFormatPr customHeight="1" defaultColWidth="14.43" defaultRowHeight="15.0"/>
  <cols>
    <col customWidth="1" min="1" max="1" width="3.0"/>
    <col customWidth="1" min="2" max="4" width="22.0"/>
    <col customWidth="1" min="5" max="5" width="45.0"/>
    <col customWidth="1" min="6" max="26" width="8.71"/>
  </cols>
  <sheetData>
    <row r="1">
      <c r="B1" s="1" t="s">
        <v>113</v>
      </c>
    </row>
    <row r="3">
      <c r="B3" s="11" t="s">
        <v>26</v>
      </c>
      <c r="C3" s="11" t="s">
        <v>114</v>
      </c>
      <c r="D3" s="11" t="s">
        <v>115</v>
      </c>
      <c r="E3" s="11" t="s">
        <v>116</v>
      </c>
    </row>
    <row r="4">
      <c r="B4" s="12" t="s">
        <v>17</v>
      </c>
      <c r="C4" s="30">
        <v>0.003</v>
      </c>
      <c r="D4" s="30">
        <v>0.005</v>
      </c>
      <c r="E4" s="20" t="s">
        <v>117</v>
      </c>
    </row>
    <row r="5">
      <c r="B5" s="12" t="s">
        <v>18</v>
      </c>
      <c r="C5" s="30">
        <v>0.008</v>
      </c>
      <c r="D5" s="30">
        <v>0.012</v>
      </c>
      <c r="E5" s="20" t="s">
        <v>118</v>
      </c>
    </row>
    <row r="6">
      <c r="B6" s="12" t="s">
        <v>19</v>
      </c>
      <c r="C6" s="30">
        <v>0.001</v>
      </c>
      <c r="D6" s="30">
        <v>0.003</v>
      </c>
      <c r="E6" s="20" t="s">
        <v>119</v>
      </c>
    </row>
    <row r="7">
      <c r="B7" s="12" t="s">
        <v>20</v>
      </c>
      <c r="C7" s="30">
        <v>0.004</v>
      </c>
      <c r="D7" s="30">
        <v>0.005</v>
      </c>
      <c r="E7" s="20" t="s">
        <v>120</v>
      </c>
    </row>
    <row r="8">
      <c r="B8" s="12" t="s">
        <v>21</v>
      </c>
      <c r="C8" s="30">
        <v>0.01</v>
      </c>
      <c r="D8" s="30">
        <v>0.013</v>
      </c>
      <c r="E8" s="20" t="s">
        <v>121</v>
      </c>
    </row>
    <row r="9">
      <c r="B9" s="12" t="s">
        <v>122</v>
      </c>
      <c r="C9" s="30">
        <v>0.001</v>
      </c>
      <c r="D9" s="30">
        <v>0.004</v>
      </c>
      <c r="E9" s="20" t="s">
        <v>123</v>
      </c>
    </row>
    <row r="10">
      <c r="B10" s="12" t="s">
        <v>124</v>
      </c>
      <c r="C10" s="30">
        <v>0.002</v>
      </c>
      <c r="D10" s="30">
        <v>0.004</v>
      </c>
      <c r="E10" s="20" t="s">
        <v>125</v>
      </c>
    </row>
    <row r="11">
      <c r="B11" s="12" t="s">
        <v>126</v>
      </c>
      <c r="C11" s="30">
        <v>0.001</v>
      </c>
      <c r="D11" s="30">
        <v>0.002</v>
      </c>
      <c r="E11" s="20" t="s">
        <v>127</v>
      </c>
    </row>
    <row r="13">
      <c r="B13" s="45" t="s">
        <v>128</v>
      </c>
    </row>
    <row r="14">
      <c r="B14" s="20" t="s">
        <v>129</v>
      </c>
    </row>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2026-02-08T01:52:09Z</dcterms:created>
  <dc:creator>openpyxl</dc:creator>
</cp:coreProperties>
</file>

<file path=docProps/custom.xml><?xml version="1.0" encoding="utf-8"?>
<Properties xmlns="http://schemas.openxmlformats.org/officeDocument/2006/custom-properties" xmlns:vt="http://schemas.openxmlformats.org/officeDocument/2006/docPropsVTypes"/>
</file>